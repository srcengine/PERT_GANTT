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s account\Documents\WORK\Business\SRC TRADES LLC\Specifications\Business\TEMPLATES\"/>
    </mc:Choice>
  </mc:AlternateContent>
  <xr:revisionPtr revIDLastSave="0" documentId="13_ncr:1_{14957D1D-39C9-4B78-92AA-8E5F4B4DD384}" xr6:coauthVersionLast="45" xr6:coauthVersionMax="45" xr10:uidLastSave="{00000000-0000-0000-0000-000000000000}"/>
  <bookViews>
    <workbookView xWindow="-15870" yWindow="195" windowWidth="15990" windowHeight="24840" activeTab="2" xr2:uid="{D9B9716D-6D6F-4306-967B-4750E901324D}"/>
  </bookViews>
  <sheets>
    <sheet name="Chart1" sheetId="2" r:id="rId1"/>
    <sheet name="Tasks" sheetId="3" r:id="rId2"/>
    <sheet name="Pert diagram" sheetId="8" r:id="rId3"/>
  </sheets>
  <externalReferences>
    <externalReference r:id="rId4"/>
  </externalReferences>
  <definedNames>
    <definedName name="CLIENT_ADD">INDEX([1]!GeneralInfo_InputTable[#Data], 11,2) &amp; ", " &amp; INDEX([1]!GeneralInfo_InputTable[#Data], 12,2)</definedName>
    <definedName name="CLIENT_CITY">[1]DESCRIPTION!$C$21</definedName>
    <definedName name="CLIENT_FIRST_NAME">[1]DESCRIPTION!$C$15</definedName>
    <definedName name="CLIENT_LAST_NAME">[1]DESCRIPTION!$C$16</definedName>
    <definedName name="DUR">Tasks!$B$5</definedName>
    <definedName name="INV_SUBTOTAL">[1]Invoice!$D$8</definedName>
    <definedName name="INV_TAX">[1]Invoice!$D$9</definedName>
    <definedName name="PAYMENT_AMT">[1]RECEIPT!#REF!</definedName>
    <definedName name="PAYMENT_DATE">[1]RECEIPT!#REF!</definedName>
    <definedName name="PAYMENT_METH">[1]RECEIPT!#REF!</definedName>
    <definedName name="PAYMENT_NET">[1]RECEIPT!#REF!</definedName>
    <definedName name="PAYMENT_REC">[1]RECEIPT!#REF!</definedName>
    <definedName name="PAYMENT_TAX">[1]RECEIPT!#REF!</definedName>
    <definedName name="PERT_TIMES">Tasks!$B$2:$B$4</definedName>
    <definedName name="PROJECT_NAME">[1]DESCRIPTION!$C$6</definedName>
    <definedName name="Quote_Subtotal" comment="The amount of the subtotal. ">[1]Quote!$D$10</definedName>
    <definedName name="Quote_Tax" comment="The tax for the quote.">[1]Quote!$D$11</definedName>
    <definedName name="START">Tasks!$B$6</definedName>
    <definedName name="TIMEBASES">Tasks!$B$40:$B$42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B10" i="3"/>
  <c r="I10" i="3"/>
  <c r="M10" i="3"/>
  <c r="N10" i="3" s="1"/>
  <c r="O10" i="3"/>
  <c r="R10" i="3"/>
  <c r="S10" i="3" s="1"/>
  <c r="V10" i="3"/>
  <c r="Z10" i="3"/>
  <c r="AA10" i="3" s="1"/>
  <c r="B11" i="3"/>
  <c r="I11" i="3"/>
  <c r="M11" i="3"/>
  <c r="R11" i="3"/>
  <c r="V11" i="3"/>
  <c r="Z11" i="3"/>
  <c r="AA11" i="3" s="1"/>
  <c r="AB11" i="3" s="1"/>
  <c r="B12" i="3"/>
  <c r="I12" i="3"/>
  <c r="M12" i="3"/>
  <c r="R12" i="3"/>
  <c r="V12" i="3"/>
  <c r="Z12" i="3"/>
  <c r="AA12" i="3" s="1"/>
  <c r="B13" i="3"/>
  <c r="I13" i="3"/>
  <c r="M13" i="3"/>
  <c r="R13" i="3"/>
  <c r="V13" i="3"/>
  <c r="Z13" i="3"/>
  <c r="AA13" i="3" s="1"/>
  <c r="AB13" i="3" s="1"/>
  <c r="B14" i="3"/>
  <c r="I14" i="3"/>
  <c r="M14" i="3"/>
  <c r="R14" i="3"/>
  <c r="V14" i="3"/>
  <c r="Z14" i="3"/>
  <c r="AA14" i="3" s="1"/>
  <c r="B15" i="3"/>
  <c r="I15" i="3"/>
  <c r="M15" i="3"/>
  <c r="R15" i="3"/>
  <c r="V15" i="3"/>
  <c r="Z15" i="3"/>
  <c r="AA15" i="3" s="1"/>
  <c r="B16" i="3"/>
  <c r="I16" i="3"/>
  <c r="M16" i="3"/>
  <c r="R16" i="3"/>
  <c r="V16" i="3"/>
  <c r="Z16" i="3"/>
  <c r="AA16" i="3" s="1"/>
  <c r="B17" i="3"/>
  <c r="I17" i="3"/>
  <c r="M17" i="3"/>
  <c r="R17" i="3"/>
  <c r="V17" i="3"/>
  <c r="Z17" i="3"/>
  <c r="AA17" i="3" s="1"/>
  <c r="AB17" i="3" s="1"/>
  <c r="B18" i="3"/>
  <c r="I18" i="3"/>
  <c r="M18" i="3"/>
  <c r="R18" i="3"/>
  <c r="V18" i="3"/>
  <c r="Z18" i="3"/>
  <c r="AA18" i="3" s="1"/>
  <c r="B19" i="3"/>
  <c r="I19" i="3"/>
  <c r="M19" i="3"/>
  <c r="R19" i="3"/>
  <c r="V19" i="3"/>
  <c r="Z19" i="3"/>
  <c r="AA19" i="3" s="1"/>
  <c r="AB19" i="3" s="1"/>
  <c r="B20" i="3"/>
  <c r="I20" i="3"/>
  <c r="M20" i="3"/>
  <c r="R20" i="3"/>
  <c r="V20" i="3"/>
  <c r="Z20" i="3"/>
  <c r="AA20" i="3" s="1"/>
  <c r="B21" i="3"/>
  <c r="I21" i="3"/>
  <c r="M21" i="3"/>
  <c r="R21" i="3"/>
  <c r="V21" i="3"/>
  <c r="Z21" i="3"/>
  <c r="AA21" i="3" s="1"/>
  <c r="AB21" i="3" s="1"/>
  <c r="B22" i="3"/>
  <c r="I22" i="3"/>
  <c r="M22" i="3"/>
  <c r="R22" i="3"/>
  <c r="V22" i="3"/>
  <c r="Z22" i="3"/>
  <c r="AA22" i="3" s="1"/>
  <c r="B23" i="3"/>
  <c r="I23" i="3"/>
  <c r="M23" i="3"/>
  <c r="R23" i="3"/>
  <c r="V23" i="3"/>
  <c r="Z23" i="3"/>
  <c r="AA23" i="3" s="1"/>
  <c r="B24" i="3"/>
  <c r="I24" i="3"/>
  <c r="M24" i="3"/>
  <c r="R24" i="3"/>
  <c r="V24" i="3"/>
  <c r="Z24" i="3"/>
  <c r="AA24" i="3" s="1"/>
  <c r="B25" i="3"/>
  <c r="I25" i="3"/>
  <c r="M25" i="3"/>
  <c r="R25" i="3"/>
  <c r="V25" i="3"/>
  <c r="Z25" i="3"/>
  <c r="AA25" i="3" s="1"/>
  <c r="AB25" i="3" s="1"/>
  <c r="B26" i="3"/>
  <c r="I26" i="3"/>
  <c r="M26" i="3"/>
  <c r="R26" i="3"/>
  <c r="V26" i="3"/>
  <c r="Z26" i="3"/>
  <c r="AA26" i="3" s="1"/>
  <c r="B27" i="3"/>
  <c r="I27" i="3"/>
  <c r="M27" i="3"/>
  <c r="R27" i="3"/>
  <c r="V27" i="3"/>
  <c r="Z27" i="3"/>
  <c r="AA27" i="3" s="1"/>
  <c r="AB27" i="3" s="1"/>
  <c r="B28" i="3"/>
  <c r="I28" i="3"/>
  <c r="M28" i="3"/>
  <c r="R28" i="3"/>
  <c r="V28" i="3"/>
  <c r="Z28" i="3"/>
  <c r="AA28" i="3" s="1"/>
  <c r="B29" i="3"/>
  <c r="I29" i="3"/>
  <c r="M29" i="3"/>
  <c r="R29" i="3"/>
  <c r="V29" i="3"/>
  <c r="Z29" i="3"/>
  <c r="AA29" i="3" s="1"/>
  <c r="AB29" i="3" s="1"/>
  <c r="B30" i="3"/>
  <c r="I30" i="3"/>
  <c r="M30" i="3"/>
  <c r="R30" i="3"/>
  <c r="V30" i="3"/>
  <c r="Z30" i="3"/>
  <c r="AA30" i="3" s="1"/>
  <c r="B31" i="3"/>
  <c r="I31" i="3"/>
  <c r="M31" i="3"/>
  <c r="R31" i="3"/>
  <c r="V31" i="3"/>
  <c r="Z31" i="3"/>
  <c r="AA31" i="3" s="1"/>
  <c r="B32" i="3"/>
  <c r="I32" i="3"/>
  <c r="M32" i="3"/>
  <c r="R32" i="3"/>
  <c r="V32" i="3"/>
  <c r="Z32" i="3"/>
  <c r="AA32" i="3" s="1"/>
  <c r="B33" i="3"/>
  <c r="I33" i="3"/>
  <c r="M33" i="3"/>
  <c r="R33" i="3"/>
  <c r="V33" i="3"/>
  <c r="Z33" i="3"/>
  <c r="AA33" i="3" s="1"/>
  <c r="AB33" i="3" s="1"/>
  <c r="B34" i="3"/>
  <c r="I34" i="3"/>
  <c r="M34" i="3"/>
  <c r="R34" i="3"/>
  <c r="V34" i="3"/>
  <c r="Z34" i="3"/>
  <c r="AA34" i="3" s="1"/>
  <c r="G35" i="3"/>
  <c r="B2" i="3" s="1"/>
  <c r="K35" i="3"/>
  <c r="B3" i="3" s="1"/>
  <c r="P35" i="3"/>
  <c r="B4" i="3" s="1"/>
  <c r="C25" i="3" l="1"/>
  <c r="C32" i="3"/>
  <c r="O14" i="3"/>
  <c r="C30" i="3"/>
  <c r="D29" i="3"/>
  <c r="C28" i="3"/>
  <c r="C26" i="3"/>
  <c r="C24" i="3"/>
  <c r="C22" i="3"/>
  <c r="C20" i="3"/>
  <c r="D26" i="3"/>
  <c r="C18" i="3"/>
  <c r="D17" i="3"/>
  <c r="C16" i="3"/>
  <c r="D15" i="3"/>
  <c r="C14" i="3"/>
  <c r="D13" i="3"/>
  <c r="C12" i="3"/>
  <c r="C33" i="3"/>
  <c r="D34" i="3"/>
  <c r="C31" i="3"/>
  <c r="C29" i="3"/>
  <c r="C27" i="3"/>
  <c r="C10" i="3"/>
  <c r="C23" i="3"/>
  <c r="C21" i="3"/>
  <c r="C19" i="3"/>
  <c r="D18" i="3"/>
  <c r="C17" i="3"/>
  <c r="D16" i="3"/>
  <c r="C15" i="3"/>
  <c r="D14" i="3"/>
  <c r="C13" i="3"/>
  <c r="C11" i="3"/>
  <c r="D11" i="3"/>
  <c r="L11" i="3" s="1"/>
  <c r="N11" i="3" s="1"/>
  <c r="B35" i="3"/>
  <c r="E10" i="3"/>
  <c r="C34" i="3"/>
  <c r="T17" i="3"/>
  <c r="T27" i="3"/>
  <c r="O24" i="3"/>
  <c r="T11" i="3"/>
  <c r="T10" i="3"/>
  <c r="O34" i="3"/>
  <c r="T28" i="3"/>
  <c r="T15" i="3"/>
  <c r="T33" i="3"/>
  <c r="T29" i="3"/>
  <c r="O26" i="3"/>
  <c r="O23" i="3"/>
  <c r="T21" i="3"/>
  <c r="T19" i="3"/>
  <c r="T16" i="3"/>
  <c r="O15" i="3"/>
  <c r="O12" i="3"/>
  <c r="O18" i="3"/>
  <c r="T14" i="3"/>
  <c r="D32" i="3"/>
  <c r="D31" i="3"/>
  <c r="U35" i="3"/>
  <c r="O27" i="3"/>
  <c r="O30" i="3"/>
  <c r="O28" i="3"/>
  <c r="T23" i="3"/>
  <c r="O20" i="3"/>
  <c r="T31" i="3"/>
  <c r="M35" i="3"/>
  <c r="V35" i="3"/>
  <c r="O32" i="3"/>
  <c r="T25" i="3"/>
  <c r="O22" i="3"/>
  <c r="O17" i="3"/>
  <c r="O16" i="3"/>
  <c r="O13" i="3"/>
  <c r="D19" i="3"/>
  <c r="D20" i="3"/>
  <c r="E13" i="3"/>
  <c r="D30" i="3"/>
  <c r="I35" i="3"/>
  <c r="O33" i="3"/>
  <c r="O29" i="3"/>
  <c r="O25" i="3"/>
  <c r="D24" i="3"/>
  <c r="AC21" i="3"/>
  <c r="AC17" i="3"/>
  <c r="T34" i="3"/>
  <c r="O31" i="3"/>
  <c r="T30" i="3"/>
  <c r="AC27" i="3"/>
  <c r="T26" i="3"/>
  <c r="T22" i="3"/>
  <c r="D22" i="3"/>
  <c r="O21" i="3"/>
  <c r="AC19" i="3"/>
  <c r="T18" i="3"/>
  <c r="T13" i="3"/>
  <c r="AC11" i="3"/>
  <c r="R35" i="3"/>
  <c r="AC33" i="3"/>
  <c r="T32" i="3"/>
  <c r="AB31" i="3"/>
  <c r="AC31" i="3" s="1"/>
  <c r="AC29" i="3"/>
  <c r="D28" i="3"/>
  <c r="AC25" i="3"/>
  <c r="T24" i="3"/>
  <c r="AB23" i="3"/>
  <c r="AC23" i="3" s="1"/>
  <c r="T20" i="3"/>
  <c r="O19" i="3"/>
  <c r="AB15" i="3"/>
  <c r="AC15" i="3" s="1"/>
  <c r="AC13" i="3"/>
  <c r="T12" i="3"/>
  <c r="D12" i="3"/>
  <c r="O11" i="3"/>
  <c r="AB22" i="3"/>
  <c r="AC22" i="3" s="1"/>
  <c r="AB18" i="3"/>
  <c r="AC18" i="3" s="1"/>
  <c r="AB28" i="3"/>
  <c r="AC28" i="3" s="1"/>
  <c r="AB20" i="3"/>
  <c r="AC20" i="3" s="1"/>
  <c r="AB12" i="3"/>
  <c r="AC12" i="3" s="1"/>
  <c r="AB34" i="3"/>
  <c r="AC34" i="3" s="1"/>
  <c r="AB30" i="3"/>
  <c r="AC30" i="3" s="1"/>
  <c r="AB26" i="3"/>
  <c r="AC26" i="3" s="1"/>
  <c r="AB14" i="3"/>
  <c r="AC14" i="3" s="1"/>
  <c r="AB10" i="3"/>
  <c r="AC10" i="3" s="1"/>
  <c r="AB32" i="3"/>
  <c r="AC32" i="3" s="1"/>
  <c r="AB24" i="3"/>
  <c r="AC24" i="3" s="1"/>
  <c r="AB16" i="3"/>
  <c r="AC16" i="3" s="1"/>
  <c r="D33" i="3"/>
  <c r="D27" i="3"/>
  <c r="D25" i="3"/>
  <c r="D23" i="3"/>
  <c r="D21" i="3"/>
  <c r="Q12" i="3" l="1"/>
  <c r="S12" i="3" s="1"/>
  <c r="Q13" i="3" s="1"/>
  <c r="S13" i="3" s="1"/>
  <c r="Q14" i="3" s="1"/>
  <c r="S14" i="3" s="1"/>
  <c r="Q15" i="3" s="1"/>
  <c r="S15" i="3" s="1"/>
  <c r="Q16" i="3" s="1"/>
  <c r="S16" i="3" s="1"/>
  <c r="Q17" i="3" s="1"/>
  <c r="S17" i="3" s="1"/>
  <c r="Q18" i="3" s="1"/>
  <c r="S18" i="3" s="1"/>
  <c r="L12" i="3"/>
  <c r="N12" i="3" s="1"/>
  <c r="L13" i="3" s="1"/>
  <c r="N13" i="3" s="1"/>
  <c r="L14" i="3" s="1"/>
  <c r="N14" i="3" s="1"/>
  <c r="L15" i="3" s="1"/>
  <c r="N15" i="3" s="1"/>
  <c r="L16" i="3" s="1"/>
  <c r="N16" i="3" s="1"/>
  <c r="L17" i="3" s="1"/>
  <c r="N17" i="3" s="1"/>
  <c r="L18" i="3" s="1"/>
  <c r="N18" i="3" s="1"/>
  <c r="Q11" i="3"/>
  <c r="S11" i="3" s="1"/>
  <c r="E14" i="3"/>
  <c r="E15" i="3"/>
  <c r="E26" i="3"/>
  <c r="E18" i="3"/>
  <c r="E16" i="3"/>
  <c r="E34" i="3"/>
  <c r="E17" i="3"/>
  <c r="E29" i="3"/>
  <c r="E11" i="3"/>
  <c r="E20" i="3"/>
  <c r="E19" i="3"/>
  <c r="E12" i="3"/>
  <c r="E25" i="3"/>
  <c r="E31" i="3"/>
  <c r="E27" i="3"/>
  <c r="E33" i="3"/>
  <c r="E24" i="3"/>
  <c r="E32" i="3"/>
  <c r="E28" i="3"/>
  <c r="E23" i="3"/>
  <c r="E22" i="3"/>
  <c r="E30" i="3"/>
  <c r="E21" i="3"/>
  <c r="L20" i="3" l="1"/>
  <c r="N20" i="3" s="1"/>
  <c r="L19" i="3"/>
  <c r="N19" i="3" s="1"/>
  <c r="L21" i="3" s="1"/>
  <c r="N21" i="3" s="1"/>
  <c r="L26" i="3"/>
  <c r="N26" i="3" s="1"/>
  <c r="Q26" i="3"/>
  <c r="S26" i="3" s="1"/>
  <c r="Q20" i="3"/>
  <c r="S20" i="3" s="1"/>
  <c r="Q19" i="3"/>
  <c r="S19" i="3" s="1"/>
  <c r="Q21" i="3" s="1"/>
  <c r="S21" i="3" s="1"/>
  <c r="L22" i="3" l="1"/>
  <c r="N22" i="3" s="1"/>
  <c r="L23" i="3"/>
  <c r="N23" i="3" s="1"/>
  <c r="L25" i="3" s="1"/>
  <c r="N25" i="3" s="1"/>
  <c r="L27" i="3" s="1"/>
  <c r="N27" i="3" s="1"/>
  <c r="L28" i="3" s="1"/>
  <c r="N28" i="3" s="1"/>
  <c r="L24" i="3"/>
  <c r="N24" i="3" s="1"/>
  <c r="Q23" i="3"/>
  <c r="S23" i="3" s="1"/>
  <c r="Q25" i="3" s="1"/>
  <c r="S25" i="3" s="1"/>
  <c r="Q27" i="3" s="1"/>
  <c r="S27" i="3" s="1"/>
  <c r="Q28" i="3" s="1"/>
  <c r="S28" i="3" s="1"/>
  <c r="Q24" i="3"/>
  <c r="S24" i="3" s="1"/>
  <c r="Q22" i="3"/>
  <c r="S22" i="3" s="1"/>
  <c r="L31" i="3" l="1"/>
  <c r="N31" i="3" s="1"/>
  <c r="L29" i="3"/>
  <c r="N29" i="3" s="1"/>
  <c r="L30" i="3" s="1"/>
  <c r="N30" i="3" s="1"/>
  <c r="Q31" i="3"/>
  <c r="S31" i="3" s="1"/>
  <c r="Q29" i="3"/>
  <c r="S29" i="3" s="1"/>
  <c r="Q30" i="3" s="1"/>
  <c r="S30" i="3" s="1"/>
  <c r="L34" i="3" l="1"/>
  <c r="N34" i="3" s="1"/>
  <c r="L32" i="3"/>
  <c r="N32" i="3" s="1"/>
  <c r="L33" i="3"/>
  <c r="N33" i="3" s="1"/>
  <c r="Q33" i="3"/>
  <c r="S33" i="3" s="1"/>
  <c r="Q34" i="3"/>
  <c r="S34" i="3" s="1"/>
  <c r="Q32" i="3"/>
  <c r="S32" i="3" s="1"/>
  <c r="J10" i="3" l="1"/>
  <c r="F39" i="3" s="1"/>
  <c r="H11" i="3" l="1"/>
  <c r="J11" i="3" s="1"/>
  <c r="H12" i="3"/>
  <c r="J12" i="3" s="1"/>
  <c r="H13" i="3" s="1"/>
  <c r="J13" i="3" s="1"/>
  <c r="H14" i="3" s="1"/>
  <c r="J14" i="3" l="1"/>
  <c r="H15" i="3" s="1"/>
  <c r="J15" i="3" s="1"/>
  <c r="H16" i="3" s="1"/>
  <c r="J16" i="3" s="1"/>
  <c r="H17" i="3" s="1"/>
  <c r="J17" i="3" s="1"/>
  <c r="H18" i="3" l="1"/>
  <c r="J18" i="3" s="1"/>
  <c r="H26" i="3" s="1"/>
  <c r="J26" i="3" s="1"/>
  <c r="H19" i="3" l="1"/>
  <c r="J19" i="3" s="1"/>
  <c r="H21" i="3" s="1"/>
  <c r="J21" i="3" s="1"/>
  <c r="H24" i="3" s="1"/>
  <c r="J24" i="3" s="1"/>
  <c r="H20" i="3"/>
  <c r="J20" i="3" s="1"/>
  <c r="H22" i="3" l="1"/>
  <c r="J22" i="3" s="1"/>
  <c r="H23" i="3"/>
  <c r="J23" i="3" s="1"/>
  <c r="H25" i="3" s="1"/>
  <c r="J25" i="3" s="1"/>
  <c r="H27" i="3" l="1"/>
  <c r="J27" i="3" s="1"/>
  <c r="H28" i="3" s="1"/>
  <c r="J28" i="3" s="1"/>
  <c r="H29" i="3" l="1"/>
  <c r="J29" i="3" s="1"/>
  <c r="H30" i="3" s="1"/>
  <c r="J30" i="3" s="1"/>
  <c r="H31" i="3"/>
  <c r="J31" i="3" s="1"/>
  <c r="H34" i="3" s="1"/>
  <c r="J34" i="3" s="1"/>
  <c r="H32" i="3" l="1"/>
  <c r="J32" i="3" s="1"/>
  <c r="H33" i="3"/>
  <c r="J33" i="3" s="1"/>
</calcChain>
</file>

<file path=xl/sharedStrings.xml><?xml version="1.0" encoding="utf-8"?>
<sst xmlns="http://schemas.openxmlformats.org/spreadsheetml/2006/main" count="84" uniqueCount="63">
  <si>
    <t>Step</t>
  </si>
  <si>
    <t>Prereq</t>
  </si>
  <si>
    <t>INSTRUCTIONS</t>
  </si>
  <si>
    <t>Type</t>
  </si>
  <si>
    <t>Lag</t>
  </si>
  <si>
    <t>Start step</t>
  </si>
  <si>
    <t>Shingle the roof</t>
  </si>
  <si>
    <t>Grade site and excavate for footings</t>
  </si>
  <si>
    <t>Gain approval for construction</t>
  </si>
  <si>
    <t>Check</t>
  </si>
  <si>
    <t>Insulate interior</t>
  </si>
  <si>
    <t>Build concrete forms and pour the footings</t>
  </si>
  <si>
    <t>Allow concrete to dry thoroughly</t>
  </si>
  <si>
    <t>Task</t>
  </si>
  <si>
    <t>Install electrical</t>
  </si>
  <si>
    <t>Install plumbing</t>
  </si>
  <si>
    <t>Frame the exterior and load-bearing walls</t>
  </si>
  <si>
    <t>Frame and sheet the joists and sub-floor</t>
  </si>
  <si>
    <t>Sheet the exterior walls</t>
  </si>
  <si>
    <t>Frame the roof</t>
  </si>
  <si>
    <t>Sheet the roof</t>
  </si>
  <si>
    <t>Frame the interior walls</t>
  </si>
  <si>
    <t>Drywall the interior (Taped and flushed)</t>
  </si>
  <si>
    <t>Install plumbing fixtures</t>
  </si>
  <si>
    <t>Install electrical fixtures</t>
  </si>
  <si>
    <t>Paint interior walls</t>
  </si>
  <si>
    <t>Install trim</t>
  </si>
  <si>
    <t>Install flooring</t>
  </si>
  <si>
    <t>Texture walls and ceiling</t>
  </si>
  <si>
    <t>Install accessories (cabinets, doorknobs, etc…)</t>
  </si>
  <si>
    <t>Optimistic percentage</t>
  </si>
  <si>
    <t>Most likely percentage</t>
  </si>
  <si>
    <t>Pessimistic percentage</t>
  </si>
  <si>
    <t>Expected time percentage</t>
  </si>
  <si>
    <t>Stepped percentag</t>
  </si>
  <si>
    <t>Draw plans</t>
  </si>
  <si>
    <t>Design new construction</t>
  </si>
  <si>
    <t>Generate bill of material</t>
  </si>
  <si>
    <t>Admin</t>
  </si>
  <si>
    <t>Percentage time-base</t>
  </si>
  <si>
    <t>M diff</t>
  </si>
  <si>
    <t>P diff</t>
  </si>
  <si>
    <t>  </t>
  </si>
  <si>
    <t>Actual percentage complete</t>
  </si>
  <si>
    <t>Optimistic time (hrs)</t>
  </si>
  <si>
    <t>Most likely time (hrs)</t>
  </si>
  <si>
    <t>Pessimistic time (hrs)</t>
  </si>
  <si>
    <t>Expected time (hrs)</t>
  </si>
  <si>
    <t>A diff</t>
  </si>
  <si>
    <t>A dif done</t>
  </si>
  <si>
    <t>A dif remaining</t>
  </si>
  <si>
    <t>Actual time done</t>
  </si>
  <si>
    <t>Total time calculated</t>
  </si>
  <si>
    <t>Start</t>
  </si>
  <si>
    <t>Optimistic</t>
  </si>
  <si>
    <t>Most Likely</t>
  </si>
  <si>
    <t>Pessimistic</t>
  </si>
  <si>
    <t>Of</t>
  </si>
  <si>
    <t>O0</t>
  </si>
  <si>
    <t>P0</t>
  </si>
  <si>
    <t>Pf</t>
  </si>
  <si>
    <t>M0</t>
  </si>
  <si>
    <t>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</si>
</sst>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10" fontId="0" fillId="0" borderId="0" xfId="1" applyNumberFormat="1" applyFont="1"/>
    <xf numFmtId="10" fontId="0" fillId="0" borderId="0" xfId="0" applyNumberFormat="1"/>
    <xf numFmtId="0" fontId="0" fillId="0" borderId="0" xfId="0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5" fontId="3" fillId="2" borderId="0" xfId="1" applyNumberFormat="1" applyFont="1" applyFill="1" applyAlignment="1">
      <alignment horizontal="center" vertical="center"/>
    </xf>
    <xf numFmtId="9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0" fontId="3" fillId="2" borderId="0" xfId="0" applyFont="1" applyFill="1"/>
    <xf numFmtId="0" fontId="2" fillId="2" borderId="0" xfId="0" applyFont="1" applyFill="1"/>
    <xf numFmtId="0" fontId="0" fillId="2" borderId="0" xfId="0" applyFill="1"/>
    <xf numFmtId="0" fontId="3" fillId="0" borderId="0" xfId="0" applyFont="1"/>
    <xf numFmtId="2" fontId="0" fillId="0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 wrapText="1"/>
    </xf>
    <xf numFmtId="10" fontId="3" fillId="2" borderId="0" xfId="1" applyNumberFormat="1" applyFont="1" applyFill="1"/>
  </cellXfs>
  <cellStyles count="2">
    <cellStyle name="Normal" xfId="0" builtinId="0"/>
    <cellStyle name="Percent" xfId="1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auto="1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auto="1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 percentage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Tasks!$E$10:$E$34</c:f>
              <c:numCache>
                <c:formatCode>0.00%</c:formatCode>
                <c:ptCount val="25"/>
                <c:pt idx="0">
                  <c:v>0</c:v>
                </c:pt>
                <c:pt idx="1">
                  <c:v>0.04</c:v>
                </c:pt>
                <c:pt idx="2">
                  <c:v>0.04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0.36</c:v>
                </c:pt>
                <c:pt idx="11">
                  <c:v>0.4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0.56000000000000005</c:v>
                </c:pt>
                <c:pt idx="16">
                  <c:v>0.36</c:v>
                </c:pt>
                <c:pt idx="17">
                  <c:v>0.64</c:v>
                </c:pt>
                <c:pt idx="18">
                  <c:v>0.72</c:v>
                </c:pt>
                <c:pt idx="19">
                  <c:v>0.76</c:v>
                </c:pt>
                <c:pt idx="20">
                  <c:v>0.8</c:v>
                </c:pt>
                <c:pt idx="21">
                  <c:v>0.76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F1B-4D9F-B9E1-083864570403}"/>
            </c:ext>
          </c:extLst>
        </c:ser>
        <c:ser>
          <c:idx val="1"/>
          <c:order val="1"/>
          <c:tx>
            <c:v>Optimistic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Tasks!$I$10:$I$34</c:f>
              <c:numCache>
                <c:formatCode>0.0%</c:formatCode>
                <c:ptCount val="25"/>
                <c:pt idx="0">
                  <c:v>1.4388489208633094E-2</c:v>
                </c:pt>
                <c:pt idx="1">
                  <c:v>1.4388489208633094E-2</c:v>
                </c:pt>
                <c:pt idx="2">
                  <c:v>1.4388489208633094E-2</c:v>
                </c:pt>
                <c:pt idx="3">
                  <c:v>7.1942446043165471E-3</c:v>
                </c:pt>
                <c:pt idx="4">
                  <c:v>2.8776978417266189E-2</c:v>
                </c:pt>
                <c:pt idx="5">
                  <c:v>5.7553956834532377E-2</c:v>
                </c:pt>
                <c:pt idx="6">
                  <c:v>0.12949640287769784</c:v>
                </c:pt>
                <c:pt idx="7">
                  <c:v>8.6330935251798566E-2</c:v>
                </c:pt>
                <c:pt idx="8">
                  <c:v>5.7553956834532377E-2</c:v>
                </c:pt>
                <c:pt idx="9">
                  <c:v>5.7553956834532377E-2</c:v>
                </c:pt>
                <c:pt idx="10">
                  <c:v>8.6330935251798566E-2</c:v>
                </c:pt>
                <c:pt idx="11">
                  <c:v>5.7553956834532377E-2</c:v>
                </c:pt>
                <c:pt idx="12">
                  <c:v>8.6330935251798566E-2</c:v>
                </c:pt>
                <c:pt idx="13">
                  <c:v>1.4388489208633094E-2</c:v>
                </c:pt>
                <c:pt idx="14">
                  <c:v>1.4388489208633094E-2</c:v>
                </c:pt>
                <c:pt idx="15">
                  <c:v>1.4388489208633094E-2</c:v>
                </c:pt>
                <c:pt idx="16">
                  <c:v>2.8776978417266189E-2</c:v>
                </c:pt>
                <c:pt idx="17">
                  <c:v>5.7553956834532377E-2</c:v>
                </c:pt>
                <c:pt idx="18">
                  <c:v>2.8776978417266189E-2</c:v>
                </c:pt>
                <c:pt idx="19">
                  <c:v>2.8776978417266189E-2</c:v>
                </c:pt>
                <c:pt idx="20">
                  <c:v>2.8776978417266189E-2</c:v>
                </c:pt>
                <c:pt idx="21">
                  <c:v>2.8776978417266189E-2</c:v>
                </c:pt>
                <c:pt idx="22">
                  <c:v>2.8776978417266189E-2</c:v>
                </c:pt>
                <c:pt idx="23">
                  <c:v>1.4388489208633094E-2</c:v>
                </c:pt>
                <c:pt idx="24">
                  <c:v>1.4388489208633094E-2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1B-4D9F-B9E1-083864570403}"/>
            </c:ext>
          </c:extLst>
        </c:ser>
        <c:ser>
          <c:idx val="2"/>
          <c:order val="2"/>
          <c:tx>
            <c:v>Most likely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Tasks!$O$10:$O$34</c:f>
              <c:numCache>
                <c:formatCode>0.00%</c:formatCode>
                <c:ptCount val="25"/>
                <c:pt idx="0">
                  <c:v>4.3165467625899283E-2</c:v>
                </c:pt>
                <c:pt idx="1">
                  <c:v>1.4388489208633094E-2</c:v>
                </c:pt>
                <c:pt idx="2">
                  <c:v>1.4388489208633094E-2</c:v>
                </c:pt>
                <c:pt idx="3">
                  <c:v>7.1942446043165471E-3</c:v>
                </c:pt>
                <c:pt idx="4">
                  <c:v>1.4388489208633094E-2</c:v>
                </c:pt>
                <c:pt idx="5">
                  <c:v>2.8776978417266189E-2</c:v>
                </c:pt>
                <c:pt idx="6">
                  <c:v>4.316546762589929E-2</c:v>
                </c:pt>
                <c:pt idx="7">
                  <c:v>5.7553956834532363E-2</c:v>
                </c:pt>
                <c:pt idx="8">
                  <c:v>7.1942446043165464E-2</c:v>
                </c:pt>
                <c:pt idx="9">
                  <c:v>5.7553956834532377E-2</c:v>
                </c:pt>
                <c:pt idx="10">
                  <c:v>4.3165467625899276E-2</c:v>
                </c:pt>
                <c:pt idx="11">
                  <c:v>2.8776978417266189E-2</c:v>
                </c:pt>
                <c:pt idx="12">
                  <c:v>4.3165467625899276E-2</c:v>
                </c:pt>
                <c:pt idx="13">
                  <c:v>1.4388489208633094E-2</c:v>
                </c:pt>
                <c:pt idx="14">
                  <c:v>1.4388489208633094E-2</c:v>
                </c:pt>
                <c:pt idx="15">
                  <c:v>1.4388489208633094E-2</c:v>
                </c:pt>
                <c:pt idx="16">
                  <c:v>5.7553956834532377E-2</c:v>
                </c:pt>
                <c:pt idx="17">
                  <c:v>2.8776978417266189E-2</c:v>
                </c:pt>
                <c:pt idx="18">
                  <c:v>5.7553956834532377E-2</c:v>
                </c:pt>
                <c:pt idx="19">
                  <c:v>5.7553956834532377E-2</c:v>
                </c:pt>
                <c:pt idx="20">
                  <c:v>5.7553956834532377E-2</c:v>
                </c:pt>
                <c:pt idx="21">
                  <c:v>2.8776978417266189E-2</c:v>
                </c:pt>
                <c:pt idx="22">
                  <c:v>5.7553956834532377E-2</c:v>
                </c:pt>
                <c:pt idx="23">
                  <c:v>1.4388489208633094E-2</c:v>
                </c:pt>
                <c:pt idx="24">
                  <c:v>1.4388489208633094E-2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1B-4D9F-B9E1-083864570403}"/>
            </c:ext>
          </c:extLst>
        </c:ser>
        <c:ser>
          <c:idx val="3"/>
          <c:order val="3"/>
          <c:tx>
            <c:v>Pessimistic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25400" dir="5400000" algn="ctr" rotWithShape="0">
                <a:srgbClr val="000000"/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Tasks!$T$10:$T$34</c:f>
              <c:numCache>
                <c:formatCode>0.00%</c:formatCode>
                <c:ptCount val="25"/>
                <c:pt idx="0">
                  <c:v>0.24820143884892085</c:v>
                </c:pt>
                <c:pt idx="1">
                  <c:v>2.8776978417266189E-2</c:v>
                </c:pt>
                <c:pt idx="2">
                  <c:v>2.8776978417266189E-2</c:v>
                </c:pt>
                <c:pt idx="3">
                  <c:v>1.4388489208633094E-2</c:v>
                </c:pt>
                <c:pt idx="4">
                  <c:v>0.10071942446043164</c:v>
                </c:pt>
                <c:pt idx="5">
                  <c:v>5.7553956834532363E-2</c:v>
                </c:pt>
                <c:pt idx="6">
                  <c:v>8.6330935251798552E-2</c:v>
                </c:pt>
                <c:pt idx="7">
                  <c:v>2.8776978417266202E-2</c:v>
                </c:pt>
                <c:pt idx="8">
                  <c:v>4.316546762589929E-2</c:v>
                </c:pt>
                <c:pt idx="9">
                  <c:v>2.8776978417266175E-2</c:v>
                </c:pt>
                <c:pt idx="10">
                  <c:v>1.4388489208633087E-2</c:v>
                </c:pt>
                <c:pt idx="11">
                  <c:v>4.3165467625899276E-2</c:v>
                </c:pt>
                <c:pt idx="12">
                  <c:v>1.4388489208633087E-2</c:v>
                </c:pt>
                <c:pt idx="13">
                  <c:v>2.8776978417266189E-2</c:v>
                </c:pt>
                <c:pt idx="14">
                  <c:v>2.8776978417266189E-2</c:v>
                </c:pt>
                <c:pt idx="15">
                  <c:v>2.8776978417266189E-2</c:v>
                </c:pt>
                <c:pt idx="16">
                  <c:v>5.7553956834532363E-2</c:v>
                </c:pt>
                <c:pt idx="17">
                  <c:v>5.7553956834532363E-2</c:v>
                </c:pt>
                <c:pt idx="18">
                  <c:v>4.3165467625899276E-2</c:v>
                </c:pt>
                <c:pt idx="19">
                  <c:v>5.7553956834532363E-2</c:v>
                </c:pt>
                <c:pt idx="20">
                  <c:v>4.3165467625899276E-2</c:v>
                </c:pt>
                <c:pt idx="21">
                  <c:v>2.8776978417266189E-2</c:v>
                </c:pt>
                <c:pt idx="22">
                  <c:v>4.3165467625899276E-2</c:v>
                </c:pt>
                <c:pt idx="23">
                  <c:v>2.8776978417266189E-2</c:v>
                </c:pt>
                <c:pt idx="24">
                  <c:v>2.8776978417266189E-2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9-42CA-A008-9FA8CFDC6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560868752"/>
        <c:axId val="560869080"/>
      </c:barChart>
      <c:barChart>
        <c:barDir val="bar"/>
        <c:grouping val="stacked"/>
        <c:varyColors val="0"/>
        <c:ser>
          <c:idx val="4"/>
          <c:order val="4"/>
          <c:tx>
            <c:v>Start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Tasks!$E$10:$E$34</c:f>
              <c:numCache>
                <c:formatCode>0.00%</c:formatCode>
                <c:ptCount val="25"/>
                <c:pt idx="0">
                  <c:v>0</c:v>
                </c:pt>
                <c:pt idx="1">
                  <c:v>0.04</c:v>
                </c:pt>
                <c:pt idx="2">
                  <c:v>0.04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0.36</c:v>
                </c:pt>
                <c:pt idx="11">
                  <c:v>0.4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0.56000000000000005</c:v>
                </c:pt>
                <c:pt idx="16">
                  <c:v>0.36</c:v>
                </c:pt>
                <c:pt idx="17">
                  <c:v>0.64</c:v>
                </c:pt>
                <c:pt idx="18">
                  <c:v>0.72</c:v>
                </c:pt>
                <c:pt idx="19">
                  <c:v>0.76</c:v>
                </c:pt>
                <c:pt idx="20">
                  <c:v>0.8</c:v>
                </c:pt>
                <c:pt idx="21">
                  <c:v>0.76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E-4F54-A634-BD8737C63676}"/>
            </c:ext>
          </c:extLst>
        </c:ser>
        <c:ser>
          <c:idx val="5"/>
          <c:order val="5"/>
          <c:tx>
            <c:v>Done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sx="125000" sy="125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Tasks!$AB$10:$AB$34</c:f>
              <c:numCache>
                <c:formatCode>0.00%</c:formatCode>
                <c:ptCount val="25"/>
                <c:pt idx="0">
                  <c:v>5.7553956834532377E-2</c:v>
                </c:pt>
                <c:pt idx="1">
                  <c:v>1.4388489208633094E-2</c:v>
                </c:pt>
                <c:pt idx="2">
                  <c:v>7.1942446043165471E-3</c:v>
                </c:pt>
                <c:pt idx="3">
                  <c:v>1.4388489208633094E-2</c:v>
                </c:pt>
                <c:pt idx="4">
                  <c:v>0</c:v>
                </c:pt>
                <c:pt idx="5">
                  <c:v>0</c:v>
                </c:pt>
                <c:pt idx="6">
                  <c:v>8.6330935251798566E-2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E-4F54-A634-BD8737C63676}"/>
            </c:ext>
          </c:extLst>
        </c:ser>
        <c:ser>
          <c:idx val="6"/>
          <c:order val="6"/>
          <c:tx>
            <c:v>Remaining</c:v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sx="125000" sy="125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Tasks!$F$10:$F$34</c:f>
              <c:strCache>
                <c:ptCount val="25"/>
                <c:pt idx="0">
                  <c:v>Design new construction</c:v>
                </c:pt>
                <c:pt idx="1">
                  <c:v>Generate bill of material</c:v>
                </c:pt>
                <c:pt idx="2">
                  <c:v>Draw plans</c:v>
                </c:pt>
                <c:pt idx="3">
                  <c:v>Gain approval for construction</c:v>
                </c:pt>
                <c:pt idx="4">
                  <c:v>Grade site and excavate for footings</c:v>
                </c:pt>
                <c:pt idx="5">
                  <c:v>Build concrete forms and pour the footings</c:v>
                </c:pt>
                <c:pt idx="6">
                  <c:v>Allow concrete to dry thoroughly</c:v>
                </c:pt>
                <c:pt idx="7">
                  <c:v>Frame and sheet the joists and sub-floor</c:v>
                </c:pt>
                <c:pt idx="8">
                  <c:v>Frame the exterior and load-bearing walls</c:v>
                </c:pt>
                <c:pt idx="9">
                  <c:v>Frame the roof</c:v>
                </c:pt>
                <c:pt idx="10">
                  <c:v>Sheet the exterior walls</c:v>
                </c:pt>
                <c:pt idx="11">
                  <c:v>Sheet the roof</c:v>
                </c:pt>
                <c:pt idx="12">
                  <c:v>Shingle the roof</c:v>
                </c:pt>
                <c:pt idx="13">
                  <c:v>Install electrical</c:v>
                </c:pt>
                <c:pt idx="14">
                  <c:v>Install plumbing</c:v>
                </c:pt>
                <c:pt idx="15">
                  <c:v>Insulate interior</c:v>
                </c:pt>
                <c:pt idx="16">
                  <c:v>Frame the interior walls</c:v>
                </c:pt>
                <c:pt idx="17">
                  <c:v>Drywall the interior (Taped and flushed)</c:v>
                </c:pt>
                <c:pt idx="18">
                  <c:v>Texture walls and ceiling</c:v>
                </c:pt>
                <c:pt idx="19">
                  <c:v>Install flooring</c:v>
                </c:pt>
                <c:pt idx="20">
                  <c:v>Install trim</c:v>
                </c:pt>
                <c:pt idx="21">
                  <c:v>Paint interior walls</c:v>
                </c:pt>
                <c:pt idx="22">
                  <c:v>Install accessories (cabinets, doorknobs, etc…)</c:v>
                </c:pt>
                <c:pt idx="23">
                  <c:v>Install plumbing fixtures</c:v>
                </c:pt>
                <c:pt idx="24">
                  <c:v>Install electrical fixtures</c:v>
                </c:pt>
              </c:strCache>
            </c:strRef>
          </c:cat>
          <c:val>
            <c:numRef>
              <c:f>Tasks!$AC$10:$AC$34</c:f>
              <c:numCache>
                <c:formatCode>0.00%</c:formatCode>
                <c:ptCount val="25"/>
                <c:pt idx="0">
                  <c:v>5.7553956834532377E-2</c:v>
                </c:pt>
                <c:pt idx="1">
                  <c:v>1.4388489208633094E-2</c:v>
                </c:pt>
                <c:pt idx="2">
                  <c:v>2.1582733812949641E-2</c:v>
                </c:pt>
                <c:pt idx="3">
                  <c:v>0</c:v>
                </c:pt>
                <c:pt idx="4">
                  <c:v>4.3165467625899283E-2</c:v>
                </c:pt>
                <c:pt idx="5">
                  <c:v>8.6330935251798566E-2</c:v>
                </c:pt>
                <c:pt idx="6">
                  <c:v>8.6330935251798566E-2</c:v>
                </c:pt>
                <c:pt idx="7">
                  <c:v>0.14388489208633093</c:v>
                </c:pt>
                <c:pt idx="8">
                  <c:v>0.12949640287769784</c:v>
                </c:pt>
                <c:pt idx="9">
                  <c:v>0.11510791366906475</c:v>
                </c:pt>
                <c:pt idx="10">
                  <c:v>0.12949640287769784</c:v>
                </c:pt>
                <c:pt idx="11">
                  <c:v>8.6330935251798566E-2</c:v>
                </c:pt>
                <c:pt idx="12">
                  <c:v>0.12949640287769784</c:v>
                </c:pt>
                <c:pt idx="13">
                  <c:v>2.8776978417266189E-2</c:v>
                </c:pt>
                <c:pt idx="14">
                  <c:v>2.8776978417266189E-2</c:v>
                </c:pt>
                <c:pt idx="15">
                  <c:v>2.8776978417266189E-2</c:v>
                </c:pt>
                <c:pt idx="16">
                  <c:v>8.6330935251798566E-2</c:v>
                </c:pt>
                <c:pt idx="17">
                  <c:v>8.6330935251798566E-2</c:v>
                </c:pt>
                <c:pt idx="18">
                  <c:v>8.6330935251798566E-2</c:v>
                </c:pt>
                <c:pt idx="19">
                  <c:v>8.6330935251798566E-2</c:v>
                </c:pt>
                <c:pt idx="20">
                  <c:v>8.6330935251798566E-2</c:v>
                </c:pt>
                <c:pt idx="21">
                  <c:v>5.7553956834532377E-2</c:v>
                </c:pt>
                <c:pt idx="22">
                  <c:v>8.6330935251798566E-2</c:v>
                </c:pt>
                <c:pt idx="23">
                  <c:v>2.8776978417266189E-2</c:v>
                </c:pt>
                <c:pt idx="24">
                  <c:v>2.8776978417266189E-2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E-4F54-A634-BD8737C63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8488760"/>
        <c:axId val="598491384"/>
      </c:barChart>
      <c:catAx>
        <c:axId val="56086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69080"/>
        <c:crosses val="autoZero"/>
        <c:auto val="1"/>
        <c:lblAlgn val="ctr"/>
        <c:lblOffset val="100"/>
        <c:noMultiLvlLbl val="0"/>
      </c:catAx>
      <c:valAx>
        <c:axId val="560869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68752"/>
        <c:crosses val="autoZero"/>
        <c:crossBetween val="between"/>
        <c:majorUnit val="0.1"/>
        <c:minorUnit val="1.0000000000000002E-2"/>
      </c:valAx>
      <c:valAx>
        <c:axId val="598491384"/>
        <c:scaling>
          <c:orientation val="minMax"/>
          <c:max val="1.1000000000000001"/>
          <c:min val="0"/>
        </c:scaling>
        <c:delete val="1"/>
        <c:axPos val="t"/>
        <c:numFmt formatCode="0.00%" sourceLinked="1"/>
        <c:majorTickMark val="out"/>
        <c:minorTickMark val="none"/>
        <c:tickLblPos val="nextTo"/>
        <c:crossAx val="598488760"/>
        <c:crosses val="autoZero"/>
        <c:crossBetween val="between"/>
      </c:valAx>
      <c:catAx>
        <c:axId val="59848876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598491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AC34B500-1A22-473A-9FE8-046DAB2A9219}">
  <sheetPr codeName="Chart2"/>
  <sheetViews>
    <sheetView zoomScale="85" workbookViewId="0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546519</xdr:colOff>
      <xdr:row>45</xdr:row>
      <xdr:rowOff>102672</xdr:rowOff>
    </xdr:from>
    <xdr:to>
      <xdr:col>9</xdr:col>
      <xdr:colOff>922310</xdr:colOff>
      <xdr:row>64</xdr:row>
      <xdr:rowOff>42785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31974" y="10961172"/>
          <a:ext cx="8757791" cy="35596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Program review and evaluation review technique PERT</a:t>
          </a:r>
        </a:p>
        <a:p>
          <a:r>
            <a:rPr lang="en-US" sz="1100"/>
            <a:t>Finds the percentage-based time of a task. 4x weighted average</a:t>
          </a:r>
          <a:r>
            <a:rPr lang="en-US" sz="1100" baseline="0"/>
            <a:t> on most likely time of optimistic and pessimistic times is equal to the expected time.</a:t>
          </a:r>
          <a:endParaRPr lang="en-US" sz="1100"/>
        </a:p>
        <a:p>
          <a:endParaRPr lang="en-US" sz="1100"/>
        </a:p>
        <a:p>
          <a:r>
            <a:rPr lang="en-US" sz="1100"/>
            <a:t>All percentages are based on the 'Percentage time-base' setting selected.</a:t>
          </a:r>
          <a:r>
            <a:rPr lang="en-US" sz="1100" baseline="0"/>
            <a:t> </a:t>
          </a:r>
          <a:endParaRPr lang="en-US" sz="1100"/>
        </a:p>
        <a:p>
          <a:endParaRPr lang="en-US" sz="1100"/>
        </a:p>
        <a:p>
          <a:r>
            <a:rPr lang="en-US" sz="1100"/>
            <a:t>1)</a:t>
          </a:r>
          <a:r>
            <a:rPr lang="en-US" sz="1100" baseline="0"/>
            <a:t> Enter the optimistic, most likely, and pessimistic times for the task, and the task name.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2)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the prerequisite for each step.</a:t>
          </a:r>
          <a:endParaRPr lang="en-US">
            <a:effectLst/>
          </a:endParaRPr>
        </a:p>
        <a:p>
          <a:r>
            <a:rPr lang="en-US" sz="1100" baseline="0"/>
            <a:t>3) Enter or delete as many steps as needed.</a:t>
          </a:r>
        </a:p>
        <a:p>
          <a:r>
            <a:rPr lang="en-US" sz="1100" baseline="0"/>
            <a:t>4) Select the Percentage time-base and the Start step (has no affect on calculation)</a:t>
          </a:r>
        </a:p>
        <a:p>
          <a:endParaRPr lang="en-US" sz="1100" baseline="0"/>
        </a:p>
        <a:p>
          <a:r>
            <a:rPr lang="en-US" sz="1100"/>
            <a:t>O0:</a:t>
          </a:r>
          <a:r>
            <a:rPr lang="en-US" sz="1100" baseline="0"/>
            <a:t> Optimistic start time</a:t>
          </a:r>
        </a:p>
        <a:p>
          <a:r>
            <a:rPr lang="en-US" sz="1100" baseline="0"/>
            <a:t>Of: Optimistic end time</a:t>
          </a:r>
        </a:p>
        <a:p>
          <a:r>
            <a:rPr lang="en-US" sz="1100" baseline="0"/>
            <a:t>M0: Most likely start time</a:t>
          </a:r>
        </a:p>
        <a:p>
          <a:r>
            <a:rPr lang="en-US" sz="1100" baseline="0"/>
            <a:t>Mf: Mos likely end time</a:t>
          </a:r>
        </a:p>
        <a:p>
          <a:r>
            <a:rPr lang="en-US" sz="1100" baseline="0"/>
            <a:t>P0: Pessimistic start time</a:t>
          </a:r>
        </a:p>
        <a:p>
          <a:r>
            <a:rPr lang="en-US" sz="1100" baseline="0"/>
            <a:t>Pf: Pessimistic end time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</xdr:row>
          <xdr:rowOff>142875</xdr:rowOff>
        </xdr:from>
        <xdr:to>
          <xdr:col>10</xdr:col>
          <xdr:colOff>542925</xdr:colOff>
          <xdr:row>4</xdr:row>
          <xdr:rowOff>171450</xdr:rowOff>
        </xdr:to>
        <xdr:sp macro="" textlink="">
          <xdr:nvSpPr>
            <xdr:cNvPr id="10244" name="ComboBox1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146187</xdr:colOff>
      <xdr:row>1</xdr:row>
      <xdr:rowOff>63500</xdr:rowOff>
    </xdr:to>
    <xdr:sp macro="" textlink="">
      <xdr:nvSpPr>
        <xdr:cNvPr id="30209" name="Step_1">
          <a:extLst>
            <a:ext uri="{FF2B5EF4-FFF2-40B4-BE49-F238E27FC236}">
              <a16:creationId xmlns:a16="http://schemas.microsoft.com/office/drawing/2014/main" id="{99AF54E0-D5D8-4983-8721-B44E6568B682}"/>
            </a:ext>
          </a:extLst>
        </xdr:cNvPr>
        <xdr:cNvSpPr/>
      </xdr:nvSpPr>
      <xdr:spPr>
        <a:xfrm>
          <a:off x="0" y="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146187</xdr:colOff>
      <xdr:row>0</xdr:row>
      <xdr:rowOff>0</xdr:rowOff>
    </xdr:from>
    <xdr:to>
      <xdr:col>0</xdr:col>
      <xdr:colOff>584748</xdr:colOff>
      <xdr:row>1</xdr:row>
      <xdr:rowOff>63500</xdr:rowOff>
    </xdr:to>
    <xdr:sp macro="" textlink="">
      <xdr:nvSpPr>
        <xdr:cNvPr id="30210" name="Flowchart: Process 30209">
          <a:extLst>
            <a:ext uri="{FF2B5EF4-FFF2-40B4-BE49-F238E27FC236}">
              <a16:creationId xmlns:a16="http://schemas.microsoft.com/office/drawing/2014/main" id="{243E2D61-8C90-4FE1-A02D-CB6F57135790}"/>
            </a:ext>
          </a:extLst>
        </xdr:cNvPr>
        <xdr:cNvSpPr/>
      </xdr:nvSpPr>
      <xdr:spPr>
        <a:xfrm>
          <a:off x="146187" y="0"/>
          <a:ext cx="438561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584748</xdr:colOff>
      <xdr:row>0</xdr:row>
      <xdr:rowOff>0</xdr:rowOff>
    </xdr:from>
    <xdr:to>
      <xdr:col>5</xdr:col>
      <xdr:colOff>58475</xdr:colOff>
      <xdr:row>1</xdr:row>
      <xdr:rowOff>63500</xdr:rowOff>
    </xdr:to>
    <xdr:sp macro="" textlink="">
      <xdr:nvSpPr>
        <xdr:cNvPr id="30211" name="Flowchart: Process 30210">
          <a:extLst>
            <a:ext uri="{FF2B5EF4-FFF2-40B4-BE49-F238E27FC236}">
              <a16:creationId xmlns:a16="http://schemas.microsoft.com/office/drawing/2014/main" id="{3233FB87-2524-4B33-8EDA-AD5F6B64CEC5}"/>
            </a:ext>
          </a:extLst>
        </xdr:cNvPr>
        <xdr:cNvSpPr/>
      </xdr:nvSpPr>
      <xdr:spPr>
        <a:xfrm>
          <a:off x="584748" y="0"/>
          <a:ext cx="2521727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559896</xdr:colOff>
      <xdr:row>1</xdr:row>
      <xdr:rowOff>63500</xdr:rowOff>
    </xdr:to>
    <xdr:sp macro="" textlink="">
      <xdr:nvSpPr>
        <xdr:cNvPr id="30212" name="Flowchart: Process 30211">
          <a:extLst>
            <a:ext uri="{FF2B5EF4-FFF2-40B4-BE49-F238E27FC236}">
              <a16:creationId xmlns:a16="http://schemas.microsoft.com/office/drawing/2014/main" id="{CF8777B5-9567-49FD-A646-E801E44F0035}"/>
            </a:ext>
          </a:extLst>
        </xdr:cNvPr>
        <xdr:cNvSpPr/>
      </xdr:nvSpPr>
      <xdr:spPr>
        <a:xfrm>
          <a:off x="0" y="0"/>
          <a:ext cx="1169496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584748</xdr:colOff>
      <xdr:row>0</xdr:row>
      <xdr:rowOff>0</xdr:rowOff>
    </xdr:from>
    <xdr:to>
      <xdr:col>0</xdr:col>
      <xdr:colOff>584748</xdr:colOff>
      <xdr:row>1</xdr:row>
      <xdr:rowOff>63500</xdr:rowOff>
    </xdr:to>
    <xdr:cxnSp macro="">
      <xdr:nvCxnSpPr>
        <xdr:cNvPr id="30213" name="Straight Connector 30212">
          <a:extLst>
            <a:ext uri="{FF2B5EF4-FFF2-40B4-BE49-F238E27FC236}">
              <a16:creationId xmlns:a16="http://schemas.microsoft.com/office/drawing/2014/main" id="{9DD6C1F5-0B0C-44BE-9D36-47614779F9C7}"/>
            </a:ext>
          </a:extLst>
        </xdr:cNvPr>
        <xdr:cNvCxnSpPr/>
      </xdr:nvCxnSpPr>
      <xdr:spPr>
        <a:xfrm>
          <a:off x="584748" y="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266700</xdr:colOff>
      <xdr:row>1</xdr:row>
      <xdr:rowOff>63500</xdr:rowOff>
    </xdr:to>
    <xdr:sp macro="" textlink="">
      <xdr:nvSpPr>
        <xdr:cNvPr id="30214" name="Step_1d">
          <a:extLst>
            <a:ext uri="{FF2B5EF4-FFF2-40B4-BE49-F238E27FC236}">
              <a16:creationId xmlns:a16="http://schemas.microsoft.com/office/drawing/2014/main" id="{872214CE-33DF-4564-BC56-84CB33805853}"/>
            </a:ext>
          </a:extLst>
        </xdr:cNvPr>
        <xdr:cNvSpPr/>
      </xdr:nvSpPr>
      <xdr:spPr>
        <a:xfrm>
          <a:off x="0" y="0"/>
          <a:ext cx="2095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Design new construction</a:t>
          </a:r>
        </a:p>
      </xdr:txBody>
    </xdr:sp>
    <xdr:clientData/>
  </xdr:twoCellAnchor>
  <xdr:twoCellAnchor>
    <xdr:from>
      <xdr:col>0</xdr:col>
      <xdr:colOff>146187</xdr:colOff>
      <xdr:row>2</xdr:row>
      <xdr:rowOff>0</xdr:rowOff>
    </xdr:from>
    <xdr:to>
      <xdr:col>0</xdr:col>
      <xdr:colOff>292374</xdr:colOff>
      <xdr:row>3</xdr:row>
      <xdr:rowOff>63500</xdr:rowOff>
    </xdr:to>
    <xdr:sp macro="" textlink="">
      <xdr:nvSpPr>
        <xdr:cNvPr id="30215" name="Step_2">
          <a:extLst>
            <a:ext uri="{FF2B5EF4-FFF2-40B4-BE49-F238E27FC236}">
              <a16:creationId xmlns:a16="http://schemas.microsoft.com/office/drawing/2014/main" id="{1F4BC1D3-8BC0-46C1-8312-8DDAA4F22F1E}"/>
            </a:ext>
          </a:extLst>
        </xdr:cNvPr>
        <xdr:cNvSpPr/>
      </xdr:nvSpPr>
      <xdr:spPr>
        <a:xfrm>
          <a:off x="146187" y="381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292374</xdr:colOff>
      <xdr:row>2</xdr:row>
      <xdr:rowOff>0</xdr:rowOff>
    </xdr:from>
    <xdr:to>
      <xdr:col>0</xdr:col>
      <xdr:colOff>438561</xdr:colOff>
      <xdr:row>3</xdr:row>
      <xdr:rowOff>63500</xdr:rowOff>
    </xdr:to>
    <xdr:sp macro="" textlink="">
      <xdr:nvSpPr>
        <xdr:cNvPr id="30216" name="Flowchart: Process 30215">
          <a:extLst>
            <a:ext uri="{FF2B5EF4-FFF2-40B4-BE49-F238E27FC236}">
              <a16:creationId xmlns:a16="http://schemas.microsoft.com/office/drawing/2014/main" id="{0CB65595-E17F-419A-9442-EC9841335A55}"/>
            </a:ext>
          </a:extLst>
        </xdr:cNvPr>
        <xdr:cNvSpPr/>
      </xdr:nvSpPr>
      <xdr:spPr>
        <a:xfrm>
          <a:off x="292374" y="381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438561</xdr:colOff>
      <xdr:row>2</xdr:row>
      <xdr:rowOff>0</xdr:rowOff>
    </xdr:from>
    <xdr:to>
      <xdr:col>1</xdr:col>
      <xdr:colOff>121335</xdr:colOff>
      <xdr:row>3</xdr:row>
      <xdr:rowOff>63500</xdr:rowOff>
    </xdr:to>
    <xdr:sp macro="" textlink="">
      <xdr:nvSpPr>
        <xdr:cNvPr id="30217" name="Flowchart: Process 30216">
          <a:extLst>
            <a:ext uri="{FF2B5EF4-FFF2-40B4-BE49-F238E27FC236}">
              <a16:creationId xmlns:a16="http://schemas.microsoft.com/office/drawing/2014/main" id="{EC824A7A-BA44-49A9-B572-32D7F35866E8}"/>
            </a:ext>
          </a:extLst>
        </xdr:cNvPr>
        <xdr:cNvSpPr/>
      </xdr:nvSpPr>
      <xdr:spPr>
        <a:xfrm>
          <a:off x="438561" y="381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146187</xdr:colOff>
      <xdr:row>2</xdr:row>
      <xdr:rowOff>0</xdr:rowOff>
    </xdr:from>
    <xdr:to>
      <xdr:col>0</xdr:col>
      <xdr:colOff>438561</xdr:colOff>
      <xdr:row>3</xdr:row>
      <xdr:rowOff>63500</xdr:rowOff>
    </xdr:to>
    <xdr:sp macro="" textlink="">
      <xdr:nvSpPr>
        <xdr:cNvPr id="30218" name="Flowchart: Process 30217">
          <a:extLst>
            <a:ext uri="{FF2B5EF4-FFF2-40B4-BE49-F238E27FC236}">
              <a16:creationId xmlns:a16="http://schemas.microsoft.com/office/drawing/2014/main" id="{2E847515-E4BB-428F-89D4-6732DA2D57DA}"/>
            </a:ext>
          </a:extLst>
        </xdr:cNvPr>
        <xdr:cNvSpPr/>
      </xdr:nvSpPr>
      <xdr:spPr>
        <a:xfrm>
          <a:off x="146187" y="381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292374</xdr:colOff>
      <xdr:row>2</xdr:row>
      <xdr:rowOff>0</xdr:rowOff>
    </xdr:from>
    <xdr:to>
      <xdr:col>0</xdr:col>
      <xdr:colOff>292374</xdr:colOff>
      <xdr:row>3</xdr:row>
      <xdr:rowOff>63500</xdr:rowOff>
    </xdr:to>
    <xdr:cxnSp macro="">
      <xdr:nvCxnSpPr>
        <xdr:cNvPr id="30219" name="Straight Connector 30218">
          <a:extLst>
            <a:ext uri="{FF2B5EF4-FFF2-40B4-BE49-F238E27FC236}">
              <a16:creationId xmlns:a16="http://schemas.microsoft.com/office/drawing/2014/main" id="{C7E8C43F-0D01-40C7-9F2A-DDAE76508F3F}"/>
            </a:ext>
          </a:extLst>
        </xdr:cNvPr>
        <xdr:cNvCxnSpPr/>
      </xdr:nvCxnSpPr>
      <xdr:spPr>
        <a:xfrm>
          <a:off x="292374" y="381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146187</xdr:colOff>
      <xdr:row>2</xdr:row>
      <xdr:rowOff>0</xdr:rowOff>
    </xdr:from>
    <xdr:to>
      <xdr:col>3</xdr:col>
      <xdr:colOff>539887</xdr:colOff>
      <xdr:row>3</xdr:row>
      <xdr:rowOff>63500</xdr:rowOff>
    </xdr:to>
    <xdr:sp macro="" textlink="">
      <xdr:nvSpPr>
        <xdr:cNvPr id="30220" name="Step_2d">
          <a:extLst>
            <a:ext uri="{FF2B5EF4-FFF2-40B4-BE49-F238E27FC236}">
              <a16:creationId xmlns:a16="http://schemas.microsoft.com/office/drawing/2014/main" id="{87FC59FB-DC31-4191-80B8-E1445E4034E0}"/>
            </a:ext>
          </a:extLst>
        </xdr:cNvPr>
        <xdr:cNvSpPr/>
      </xdr:nvSpPr>
      <xdr:spPr>
        <a:xfrm>
          <a:off x="146187" y="381000"/>
          <a:ext cx="2222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Generate bill of material</a:t>
          </a:r>
        </a:p>
      </xdr:txBody>
    </xdr:sp>
    <xdr:clientData/>
  </xdr:twoCellAnchor>
  <xdr:twoCellAnchor>
    <xdr:from>
      <xdr:col>0</xdr:col>
      <xdr:colOff>146187</xdr:colOff>
      <xdr:row>4</xdr:row>
      <xdr:rowOff>0</xdr:rowOff>
    </xdr:from>
    <xdr:to>
      <xdr:col>0</xdr:col>
      <xdr:colOff>292374</xdr:colOff>
      <xdr:row>5</xdr:row>
      <xdr:rowOff>63500</xdr:rowOff>
    </xdr:to>
    <xdr:sp macro="" textlink="">
      <xdr:nvSpPr>
        <xdr:cNvPr id="30221" name="Step_3">
          <a:extLst>
            <a:ext uri="{FF2B5EF4-FFF2-40B4-BE49-F238E27FC236}">
              <a16:creationId xmlns:a16="http://schemas.microsoft.com/office/drawing/2014/main" id="{51621EC8-41F8-40F9-A940-170695862BEA}"/>
            </a:ext>
          </a:extLst>
        </xdr:cNvPr>
        <xdr:cNvSpPr/>
      </xdr:nvSpPr>
      <xdr:spPr>
        <a:xfrm>
          <a:off x="146187" y="762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292374</xdr:colOff>
      <xdr:row>4</xdr:row>
      <xdr:rowOff>0</xdr:rowOff>
    </xdr:from>
    <xdr:to>
      <xdr:col>0</xdr:col>
      <xdr:colOff>438561</xdr:colOff>
      <xdr:row>5</xdr:row>
      <xdr:rowOff>63500</xdr:rowOff>
    </xdr:to>
    <xdr:sp macro="" textlink="">
      <xdr:nvSpPr>
        <xdr:cNvPr id="30222" name="Flowchart: Process 30221">
          <a:extLst>
            <a:ext uri="{FF2B5EF4-FFF2-40B4-BE49-F238E27FC236}">
              <a16:creationId xmlns:a16="http://schemas.microsoft.com/office/drawing/2014/main" id="{151C1552-A69A-4153-BFE0-F55ECAAB3C59}"/>
            </a:ext>
          </a:extLst>
        </xdr:cNvPr>
        <xdr:cNvSpPr/>
      </xdr:nvSpPr>
      <xdr:spPr>
        <a:xfrm>
          <a:off x="292374" y="762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438561</xdr:colOff>
      <xdr:row>4</xdr:row>
      <xdr:rowOff>0</xdr:rowOff>
    </xdr:from>
    <xdr:to>
      <xdr:col>1</xdr:col>
      <xdr:colOff>121335</xdr:colOff>
      <xdr:row>5</xdr:row>
      <xdr:rowOff>63500</xdr:rowOff>
    </xdr:to>
    <xdr:sp macro="" textlink="">
      <xdr:nvSpPr>
        <xdr:cNvPr id="30223" name="Flowchart: Process 30222">
          <a:extLst>
            <a:ext uri="{FF2B5EF4-FFF2-40B4-BE49-F238E27FC236}">
              <a16:creationId xmlns:a16="http://schemas.microsoft.com/office/drawing/2014/main" id="{949DC538-E9BA-42AF-8358-6AE03EF03CCE}"/>
            </a:ext>
          </a:extLst>
        </xdr:cNvPr>
        <xdr:cNvSpPr/>
      </xdr:nvSpPr>
      <xdr:spPr>
        <a:xfrm>
          <a:off x="438561" y="762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146187</xdr:colOff>
      <xdr:row>4</xdr:row>
      <xdr:rowOff>0</xdr:rowOff>
    </xdr:from>
    <xdr:to>
      <xdr:col>0</xdr:col>
      <xdr:colOff>438561</xdr:colOff>
      <xdr:row>5</xdr:row>
      <xdr:rowOff>63500</xdr:rowOff>
    </xdr:to>
    <xdr:sp macro="" textlink="">
      <xdr:nvSpPr>
        <xdr:cNvPr id="30224" name="Flowchart: Process 30223">
          <a:extLst>
            <a:ext uri="{FF2B5EF4-FFF2-40B4-BE49-F238E27FC236}">
              <a16:creationId xmlns:a16="http://schemas.microsoft.com/office/drawing/2014/main" id="{5C15EEFA-3CE7-417C-AB8F-EAFB957DF44E}"/>
            </a:ext>
          </a:extLst>
        </xdr:cNvPr>
        <xdr:cNvSpPr/>
      </xdr:nvSpPr>
      <xdr:spPr>
        <a:xfrm>
          <a:off x="146187" y="762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219281</xdr:colOff>
      <xdr:row>4</xdr:row>
      <xdr:rowOff>0</xdr:rowOff>
    </xdr:from>
    <xdr:to>
      <xdr:col>0</xdr:col>
      <xdr:colOff>219281</xdr:colOff>
      <xdr:row>5</xdr:row>
      <xdr:rowOff>63500</xdr:rowOff>
    </xdr:to>
    <xdr:cxnSp macro="">
      <xdr:nvCxnSpPr>
        <xdr:cNvPr id="30225" name="Straight Connector 30224">
          <a:extLst>
            <a:ext uri="{FF2B5EF4-FFF2-40B4-BE49-F238E27FC236}">
              <a16:creationId xmlns:a16="http://schemas.microsoft.com/office/drawing/2014/main" id="{C4513A0C-461F-4795-9F19-72BF7A5C006D}"/>
            </a:ext>
          </a:extLst>
        </xdr:cNvPr>
        <xdr:cNvCxnSpPr/>
      </xdr:nvCxnSpPr>
      <xdr:spPr>
        <a:xfrm>
          <a:off x="219281" y="762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146187</xdr:colOff>
      <xdr:row>4</xdr:row>
      <xdr:rowOff>0</xdr:rowOff>
    </xdr:from>
    <xdr:to>
      <xdr:col>2</xdr:col>
      <xdr:colOff>196987</xdr:colOff>
      <xdr:row>5</xdr:row>
      <xdr:rowOff>63500</xdr:rowOff>
    </xdr:to>
    <xdr:sp macro="" textlink="">
      <xdr:nvSpPr>
        <xdr:cNvPr id="30226" name="Step_3d">
          <a:extLst>
            <a:ext uri="{FF2B5EF4-FFF2-40B4-BE49-F238E27FC236}">
              <a16:creationId xmlns:a16="http://schemas.microsoft.com/office/drawing/2014/main" id="{B57A4870-62D3-4630-8883-3159A001D27A}"/>
            </a:ext>
          </a:extLst>
        </xdr:cNvPr>
        <xdr:cNvSpPr/>
      </xdr:nvSpPr>
      <xdr:spPr>
        <a:xfrm>
          <a:off x="146187" y="762000"/>
          <a:ext cx="1270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Draw plans</a:t>
          </a:r>
        </a:p>
      </xdr:txBody>
    </xdr:sp>
    <xdr:clientData/>
  </xdr:twoCellAnchor>
  <xdr:twoCellAnchor>
    <xdr:from>
      <xdr:col>0</xdr:col>
      <xdr:colOff>292374</xdr:colOff>
      <xdr:row>6</xdr:row>
      <xdr:rowOff>0</xdr:rowOff>
    </xdr:from>
    <xdr:to>
      <xdr:col>0</xdr:col>
      <xdr:colOff>365468</xdr:colOff>
      <xdr:row>7</xdr:row>
      <xdr:rowOff>63500</xdr:rowOff>
    </xdr:to>
    <xdr:sp macro="" textlink="">
      <xdr:nvSpPr>
        <xdr:cNvPr id="30227" name="Step_4">
          <a:extLst>
            <a:ext uri="{FF2B5EF4-FFF2-40B4-BE49-F238E27FC236}">
              <a16:creationId xmlns:a16="http://schemas.microsoft.com/office/drawing/2014/main" id="{A3B8321A-E47F-4103-89DD-0CDFAAA1204C}"/>
            </a:ext>
          </a:extLst>
        </xdr:cNvPr>
        <xdr:cNvSpPr/>
      </xdr:nvSpPr>
      <xdr:spPr>
        <a:xfrm>
          <a:off x="292374" y="1143000"/>
          <a:ext cx="7309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365468</xdr:colOff>
      <xdr:row>6</xdr:row>
      <xdr:rowOff>0</xdr:rowOff>
    </xdr:from>
    <xdr:to>
      <xdr:col>0</xdr:col>
      <xdr:colOff>438561</xdr:colOff>
      <xdr:row>7</xdr:row>
      <xdr:rowOff>63500</xdr:rowOff>
    </xdr:to>
    <xdr:sp macro="" textlink="">
      <xdr:nvSpPr>
        <xdr:cNvPr id="30228" name="Flowchart: Process 30227">
          <a:extLst>
            <a:ext uri="{FF2B5EF4-FFF2-40B4-BE49-F238E27FC236}">
              <a16:creationId xmlns:a16="http://schemas.microsoft.com/office/drawing/2014/main" id="{D7A7131C-D550-4061-956B-BFF6E0C81F9A}"/>
            </a:ext>
          </a:extLst>
        </xdr:cNvPr>
        <xdr:cNvSpPr/>
      </xdr:nvSpPr>
      <xdr:spPr>
        <a:xfrm>
          <a:off x="365468" y="1143000"/>
          <a:ext cx="73093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438561</xdr:colOff>
      <xdr:row>6</xdr:row>
      <xdr:rowOff>0</xdr:rowOff>
    </xdr:from>
    <xdr:to>
      <xdr:col>0</xdr:col>
      <xdr:colOff>584748</xdr:colOff>
      <xdr:row>7</xdr:row>
      <xdr:rowOff>63500</xdr:rowOff>
    </xdr:to>
    <xdr:sp macro="" textlink="">
      <xdr:nvSpPr>
        <xdr:cNvPr id="30229" name="Flowchart: Process 30228">
          <a:extLst>
            <a:ext uri="{FF2B5EF4-FFF2-40B4-BE49-F238E27FC236}">
              <a16:creationId xmlns:a16="http://schemas.microsoft.com/office/drawing/2014/main" id="{EF1BE0D8-1247-4D21-A8FA-B4CE059C7008}"/>
            </a:ext>
          </a:extLst>
        </xdr:cNvPr>
        <xdr:cNvSpPr/>
      </xdr:nvSpPr>
      <xdr:spPr>
        <a:xfrm>
          <a:off x="438561" y="1143000"/>
          <a:ext cx="146187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292374</xdr:colOff>
      <xdr:row>6</xdr:row>
      <xdr:rowOff>0</xdr:rowOff>
    </xdr:from>
    <xdr:to>
      <xdr:col>0</xdr:col>
      <xdr:colOff>438561</xdr:colOff>
      <xdr:row>7</xdr:row>
      <xdr:rowOff>63500</xdr:rowOff>
    </xdr:to>
    <xdr:sp macro="" textlink="">
      <xdr:nvSpPr>
        <xdr:cNvPr id="30230" name="Flowchart: Process 30229">
          <a:extLst>
            <a:ext uri="{FF2B5EF4-FFF2-40B4-BE49-F238E27FC236}">
              <a16:creationId xmlns:a16="http://schemas.microsoft.com/office/drawing/2014/main" id="{77901357-A161-4A3C-83D4-32181B23AC75}"/>
            </a:ext>
          </a:extLst>
        </xdr:cNvPr>
        <xdr:cNvSpPr/>
      </xdr:nvSpPr>
      <xdr:spPr>
        <a:xfrm>
          <a:off x="292374" y="1143000"/>
          <a:ext cx="146187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438561</xdr:colOff>
      <xdr:row>6</xdr:row>
      <xdr:rowOff>0</xdr:rowOff>
    </xdr:from>
    <xdr:to>
      <xdr:col>0</xdr:col>
      <xdr:colOff>438561</xdr:colOff>
      <xdr:row>7</xdr:row>
      <xdr:rowOff>63500</xdr:rowOff>
    </xdr:to>
    <xdr:cxnSp macro="">
      <xdr:nvCxnSpPr>
        <xdr:cNvPr id="30231" name="Straight Connector 30230">
          <a:extLst>
            <a:ext uri="{FF2B5EF4-FFF2-40B4-BE49-F238E27FC236}">
              <a16:creationId xmlns:a16="http://schemas.microsoft.com/office/drawing/2014/main" id="{BF3B6688-C751-4AF2-8F0E-395B77A85479}"/>
            </a:ext>
          </a:extLst>
        </xdr:cNvPr>
        <xdr:cNvCxnSpPr/>
      </xdr:nvCxnSpPr>
      <xdr:spPr>
        <a:xfrm>
          <a:off x="438561" y="1143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292374</xdr:colOff>
      <xdr:row>6</xdr:row>
      <xdr:rowOff>0</xdr:rowOff>
    </xdr:from>
    <xdr:to>
      <xdr:col>4</xdr:col>
      <xdr:colOff>393974</xdr:colOff>
      <xdr:row>7</xdr:row>
      <xdr:rowOff>63500</xdr:rowOff>
    </xdr:to>
    <xdr:sp macro="" textlink="">
      <xdr:nvSpPr>
        <xdr:cNvPr id="30232" name="Step_4d">
          <a:extLst>
            <a:ext uri="{FF2B5EF4-FFF2-40B4-BE49-F238E27FC236}">
              <a16:creationId xmlns:a16="http://schemas.microsoft.com/office/drawing/2014/main" id="{34529D68-6B14-489F-8F29-D144761341F3}"/>
            </a:ext>
          </a:extLst>
        </xdr:cNvPr>
        <xdr:cNvSpPr/>
      </xdr:nvSpPr>
      <xdr:spPr>
        <a:xfrm>
          <a:off x="292374" y="1143000"/>
          <a:ext cx="2540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Gain approval for construction</a:t>
          </a:r>
        </a:p>
      </xdr:txBody>
    </xdr:sp>
    <xdr:clientData/>
  </xdr:twoCellAnchor>
  <xdr:twoCellAnchor>
    <xdr:from>
      <xdr:col>0</xdr:col>
      <xdr:colOff>365468</xdr:colOff>
      <xdr:row>8</xdr:row>
      <xdr:rowOff>0</xdr:rowOff>
    </xdr:from>
    <xdr:to>
      <xdr:col>1</xdr:col>
      <xdr:colOff>48242</xdr:colOff>
      <xdr:row>9</xdr:row>
      <xdr:rowOff>63500</xdr:rowOff>
    </xdr:to>
    <xdr:sp macro="" textlink="">
      <xdr:nvSpPr>
        <xdr:cNvPr id="30233" name="Step_5">
          <a:extLst>
            <a:ext uri="{FF2B5EF4-FFF2-40B4-BE49-F238E27FC236}">
              <a16:creationId xmlns:a16="http://schemas.microsoft.com/office/drawing/2014/main" id="{A732A60F-7A1C-42A0-8725-9A0F48725CA4}"/>
            </a:ext>
          </a:extLst>
        </xdr:cNvPr>
        <xdr:cNvSpPr/>
      </xdr:nvSpPr>
      <xdr:spPr>
        <a:xfrm>
          <a:off x="365468" y="1524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48242</xdr:colOff>
      <xdr:row>8</xdr:row>
      <xdr:rowOff>0</xdr:rowOff>
    </xdr:from>
    <xdr:to>
      <xdr:col>1</xdr:col>
      <xdr:colOff>194429</xdr:colOff>
      <xdr:row>9</xdr:row>
      <xdr:rowOff>63500</xdr:rowOff>
    </xdr:to>
    <xdr:sp macro="" textlink="">
      <xdr:nvSpPr>
        <xdr:cNvPr id="30234" name="Flowchart: Process 30233">
          <a:extLst>
            <a:ext uri="{FF2B5EF4-FFF2-40B4-BE49-F238E27FC236}">
              <a16:creationId xmlns:a16="http://schemas.microsoft.com/office/drawing/2014/main" id="{5F63940E-CF2C-4AD9-AB1E-D1A501A024FF}"/>
            </a:ext>
          </a:extLst>
        </xdr:cNvPr>
        <xdr:cNvSpPr/>
      </xdr:nvSpPr>
      <xdr:spPr>
        <a:xfrm>
          <a:off x="657842" y="1524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194429</xdr:colOff>
      <xdr:row>8</xdr:row>
      <xdr:rowOff>0</xdr:rowOff>
    </xdr:from>
    <xdr:to>
      <xdr:col>2</xdr:col>
      <xdr:colOff>608138</xdr:colOff>
      <xdr:row>9</xdr:row>
      <xdr:rowOff>63500</xdr:rowOff>
    </xdr:to>
    <xdr:sp macro="" textlink="">
      <xdr:nvSpPr>
        <xdr:cNvPr id="30235" name="Flowchart: Process 30234">
          <a:extLst>
            <a:ext uri="{FF2B5EF4-FFF2-40B4-BE49-F238E27FC236}">
              <a16:creationId xmlns:a16="http://schemas.microsoft.com/office/drawing/2014/main" id="{7B2950BD-92FC-4606-8CB3-B22E4C954594}"/>
            </a:ext>
          </a:extLst>
        </xdr:cNvPr>
        <xdr:cNvSpPr/>
      </xdr:nvSpPr>
      <xdr:spPr>
        <a:xfrm>
          <a:off x="804029" y="1524000"/>
          <a:ext cx="1023309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365468</xdr:colOff>
      <xdr:row>8</xdr:row>
      <xdr:rowOff>0</xdr:rowOff>
    </xdr:from>
    <xdr:to>
      <xdr:col>1</xdr:col>
      <xdr:colOff>194429</xdr:colOff>
      <xdr:row>9</xdr:row>
      <xdr:rowOff>63500</xdr:rowOff>
    </xdr:to>
    <xdr:sp macro="" textlink="">
      <xdr:nvSpPr>
        <xdr:cNvPr id="30236" name="Flowchart: Process 30235">
          <a:extLst>
            <a:ext uri="{FF2B5EF4-FFF2-40B4-BE49-F238E27FC236}">
              <a16:creationId xmlns:a16="http://schemas.microsoft.com/office/drawing/2014/main" id="{EEA84A9F-65F9-4A0F-A156-72F463022EFF}"/>
            </a:ext>
          </a:extLst>
        </xdr:cNvPr>
        <xdr:cNvSpPr/>
      </xdr:nvSpPr>
      <xdr:spPr>
        <a:xfrm>
          <a:off x="365468" y="1524000"/>
          <a:ext cx="438561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365468</xdr:colOff>
      <xdr:row>8</xdr:row>
      <xdr:rowOff>0</xdr:rowOff>
    </xdr:from>
    <xdr:to>
      <xdr:col>0</xdr:col>
      <xdr:colOff>365468</xdr:colOff>
      <xdr:row>9</xdr:row>
      <xdr:rowOff>63500</xdr:rowOff>
    </xdr:to>
    <xdr:cxnSp macro="">
      <xdr:nvCxnSpPr>
        <xdr:cNvPr id="30237" name="Straight Connector 30236">
          <a:extLst>
            <a:ext uri="{FF2B5EF4-FFF2-40B4-BE49-F238E27FC236}">
              <a16:creationId xmlns:a16="http://schemas.microsoft.com/office/drawing/2014/main" id="{540DF639-7919-4ED9-8E47-242460B57972}"/>
            </a:ext>
          </a:extLst>
        </xdr:cNvPr>
        <xdr:cNvCxnSpPr/>
      </xdr:nvCxnSpPr>
      <xdr:spPr>
        <a:xfrm>
          <a:off x="365468" y="1524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365468</xdr:colOff>
      <xdr:row>8</xdr:row>
      <xdr:rowOff>0</xdr:rowOff>
    </xdr:from>
    <xdr:to>
      <xdr:col>5</xdr:col>
      <xdr:colOff>238468</xdr:colOff>
      <xdr:row>9</xdr:row>
      <xdr:rowOff>63500</xdr:rowOff>
    </xdr:to>
    <xdr:sp macro="" textlink="">
      <xdr:nvSpPr>
        <xdr:cNvPr id="30238" name="Step_5d">
          <a:extLst>
            <a:ext uri="{FF2B5EF4-FFF2-40B4-BE49-F238E27FC236}">
              <a16:creationId xmlns:a16="http://schemas.microsoft.com/office/drawing/2014/main" id="{85CE035A-79F1-43EA-8B57-4BF10B362A54}"/>
            </a:ext>
          </a:extLst>
        </xdr:cNvPr>
        <xdr:cNvSpPr/>
      </xdr:nvSpPr>
      <xdr:spPr>
        <a:xfrm>
          <a:off x="365468" y="1524000"/>
          <a:ext cx="2921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Grade site and excavate for footings</a:t>
          </a:r>
        </a:p>
      </xdr:txBody>
    </xdr:sp>
    <xdr:clientData/>
  </xdr:twoCellAnchor>
  <xdr:twoCellAnchor>
    <xdr:from>
      <xdr:col>1</xdr:col>
      <xdr:colOff>48242</xdr:colOff>
      <xdr:row>10</xdr:row>
      <xdr:rowOff>0</xdr:rowOff>
    </xdr:from>
    <xdr:to>
      <xdr:col>2</xdr:col>
      <xdr:colOff>23390</xdr:colOff>
      <xdr:row>11</xdr:row>
      <xdr:rowOff>63500</xdr:rowOff>
    </xdr:to>
    <xdr:sp macro="" textlink="">
      <xdr:nvSpPr>
        <xdr:cNvPr id="30239" name="Step_6">
          <a:extLst>
            <a:ext uri="{FF2B5EF4-FFF2-40B4-BE49-F238E27FC236}">
              <a16:creationId xmlns:a16="http://schemas.microsoft.com/office/drawing/2014/main" id="{E4D6FC49-4505-480A-A74C-5B9E5AD4BA86}"/>
            </a:ext>
          </a:extLst>
        </xdr:cNvPr>
        <xdr:cNvSpPr/>
      </xdr:nvSpPr>
      <xdr:spPr>
        <a:xfrm>
          <a:off x="657842" y="1905000"/>
          <a:ext cx="584748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23390</xdr:colOff>
      <xdr:row>10</xdr:row>
      <xdr:rowOff>0</xdr:rowOff>
    </xdr:from>
    <xdr:to>
      <xdr:col>2</xdr:col>
      <xdr:colOff>315764</xdr:colOff>
      <xdr:row>11</xdr:row>
      <xdr:rowOff>63500</xdr:rowOff>
    </xdr:to>
    <xdr:sp macro="" textlink="">
      <xdr:nvSpPr>
        <xdr:cNvPr id="30240" name="Flowchart: Process 30239">
          <a:extLst>
            <a:ext uri="{FF2B5EF4-FFF2-40B4-BE49-F238E27FC236}">
              <a16:creationId xmlns:a16="http://schemas.microsoft.com/office/drawing/2014/main" id="{5A0A6F45-C662-4903-8A4F-01F2AC38261D}"/>
            </a:ext>
          </a:extLst>
        </xdr:cNvPr>
        <xdr:cNvSpPr/>
      </xdr:nvSpPr>
      <xdr:spPr>
        <a:xfrm>
          <a:off x="1242590" y="1905000"/>
          <a:ext cx="292374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315764</xdr:colOff>
      <xdr:row>10</xdr:row>
      <xdr:rowOff>0</xdr:rowOff>
    </xdr:from>
    <xdr:to>
      <xdr:col>3</xdr:col>
      <xdr:colOff>290912</xdr:colOff>
      <xdr:row>11</xdr:row>
      <xdr:rowOff>63500</xdr:rowOff>
    </xdr:to>
    <xdr:sp macro="" textlink="">
      <xdr:nvSpPr>
        <xdr:cNvPr id="30241" name="Flowchart: Process 30240">
          <a:extLst>
            <a:ext uri="{FF2B5EF4-FFF2-40B4-BE49-F238E27FC236}">
              <a16:creationId xmlns:a16="http://schemas.microsoft.com/office/drawing/2014/main" id="{8159F27F-79A5-4A74-90FD-90316B47F442}"/>
            </a:ext>
          </a:extLst>
        </xdr:cNvPr>
        <xdr:cNvSpPr/>
      </xdr:nvSpPr>
      <xdr:spPr>
        <a:xfrm>
          <a:off x="1534964" y="1905000"/>
          <a:ext cx="584748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48242</xdr:colOff>
      <xdr:row>10</xdr:row>
      <xdr:rowOff>0</xdr:rowOff>
    </xdr:from>
    <xdr:to>
      <xdr:col>2</xdr:col>
      <xdr:colOff>315764</xdr:colOff>
      <xdr:row>11</xdr:row>
      <xdr:rowOff>63500</xdr:rowOff>
    </xdr:to>
    <xdr:sp macro="" textlink="">
      <xdr:nvSpPr>
        <xdr:cNvPr id="30242" name="Flowchart: Process 30241">
          <a:extLst>
            <a:ext uri="{FF2B5EF4-FFF2-40B4-BE49-F238E27FC236}">
              <a16:creationId xmlns:a16="http://schemas.microsoft.com/office/drawing/2014/main" id="{7E9B11D1-15F1-4B9D-BCFC-3B4F2425A2E5}"/>
            </a:ext>
          </a:extLst>
        </xdr:cNvPr>
        <xdr:cNvSpPr/>
      </xdr:nvSpPr>
      <xdr:spPr>
        <a:xfrm>
          <a:off x="657842" y="1905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48242</xdr:colOff>
      <xdr:row>10</xdr:row>
      <xdr:rowOff>0</xdr:rowOff>
    </xdr:from>
    <xdr:to>
      <xdr:col>1</xdr:col>
      <xdr:colOff>48242</xdr:colOff>
      <xdr:row>11</xdr:row>
      <xdr:rowOff>63500</xdr:rowOff>
    </xdr:to>
    <xdr:cxnSp macro="">
      <xdr:nvCxnSpPr>
        <xdr:cNvPr id="30243" name="Straight Connector 30242">
          <a:extLst>
            <a:ext uri="{FF2B5EF4-FFF2-40B4-BE49-F238E27FC236}">
              <a16:creationId xmlns:a16="http://schemas.microsoft.com/office/drawing/2014/main" id="{EB060113-61F1-4BE1-B7EE-AAC3C5330D63}"/>
            </a:ext>
          </a:extLst>
        </xdr:cNvPr>
        <xdr:cNvCxnSpPr/>
      </xdr:nvCxnSpPr>
      <xdr:spPr>
        <a:xfrm>
          <a:off x="657842" y="1905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48242</xdr:colOff>
      <xdr:row>10</xdr:row>
      <xdr:rowOff>0</xdr:rowOff>
    </xdr:from>
    <xdr:to>
      <xdr:col>6</xdr:col>
      <xdr:colOff>302242</xdr:colOff>
      <xdr:row>11</xdr:row>
      <xdr:rowOff>63500</xdr:rowOff>
    </xdr:to>
    <xdr:sp macro="" textlink="">
      <xdr:nvSpPr>
        <xdr:cNvPr id="30244" name="Step_6d">
          <a:extLst>
            <a:ext uri="{FF2B5EF4-FFF2-40B4-BE49-F238E27FC236}">
              <a16:creationId xmlns:a16="http://schemas.microsoft.com/office/drawing/2014/main" id="{D9E37753-939A-41B2-A3AA-68D53E26E2BD}"/>
            </a:ext>
          </a:extLst>
        </xdr:cNvPr>
        <xdr:cNvSpPr/>
      </xdr:nvSpPr>
      <xdr:spPr>
        <a:xfrm>
          <a:off x="657842" y="1905000"/>
          <a:ext cx="3302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Build concrete forms and pour the footings</a:t>
          </a:r>
        </a:p>
      </xdr:txBody>
    </xdr:sp>
    <xdr:clientData/>
  </xdr:twoCellAnchor>
  <xdr:twoCellAnchor>
    <xdr:from>
      <xdr:col>2</xdr:col>
      <xdr:colOff>23390</xdr:colOff>
      <xdr:row>12</xdr:row>
      <xdr:rowOff>0</xdr:rowOff>
    </xdr:from>
    <xdr:to>
      <xdr:col>4</xdr:col>
      <xdr:colOff>119873</xdr:colOff>
      <xdr:row>13</xdr:row>
      <xdr:rowOff>63500</xdr:rowOff>
    </xdr:to>
    <xdr:sp macro="" textlink="">
      <xdr:nvSpPr>
        <xdr:cNvPr id="30245" name="Step_7">
          <a:extLst>
            <a:ext uri="{FF2B5EF4-FFF2-40B4-BE49-F238E27FC236}">
              <a16:creationId xmlns:a16="http://schemas.microsoft.com/office/drawing/2014/main" id="{4896D66C-E071-4490-9C63-F1C4E4073483}"/>
            </a:ext>
          </a:extLst>
        </xdr:cNvPr>
        <xdr:cNvSpPr/>
      </xdr:nvSpPr>
      <xdr:spPr>
        <a:xfrm>
          <a:off x="1242590" y="2286000"/>
          <a:ext cx="1315683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119873</xdr:colOff>
      <xdr:row>12</xdr:row>
      <xdr:rowOff>0</xdr:rowOff>
    </xdr:from>
    <xdr:to>
      <xdr:col>4</xdr:col>
      <xdr:colOff>558435</xdr:colOff>
      <xdr:row>13</xdr:row>
      <xdr:rowOff>63500</xdr:rowOff>
    </xdr:to>
    <xdr:sp macro="" textlink="">
      <xdr:nvSpPr>
        <xdr:cNvPr id="30246" name="Flowchart: Process 30245">
          <a:extLst>
            <a:ext uri="{FF2B5EF4-FFF2-40B4-BE49-F238E27FC236}">
              <a16:creationId xmlns:a16="http://schemas.microsoft.com/office/drawing/2014/main" id="{A80591DF-1213-4BA3-9CAB-45758B3ED467}"/>
            </a:ext>
          </a:extLst>
        </xdr:cNvPr>
        <xdr:cNvSpPr/>
      </xdr:nvSpPr>
      <xdr:spPr>
        <a:xfrm>
          <a:off x="2558273" y="2286000"/>
          <a:ext cx="438562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558435</xdr:colOff>
      <xdr:row>12</xdr:row>
      <xdr:rowOff>0</xdr:rowOff>
    </xdr:from>
    <xdr:to>
      <xdr:col>6</xdr:col>
      <xdr:colOff>216357</xdr:colOff>
      <xdr:row>13</xdr:row>
      <xdr:rowOff>63500</xdr:rowOff>
    </xdr:to>
    <xdr:sp macro="" textlink="">
      <xdr:nvSpPr>
        <xdr:cNvPr id="30247" name="Flowchart: Process 30246">
          <a:extLst>
            <a:ext uri="{FF2B5EF4-FFF2-40B4-BE49-F238E27FC236}">
              <a16:creationId xmlns:a16="http://schemas.microsoft.com/office/drawing/2014/main" id="{16589425-F562-42E0-B864-ACDC376B4181}"/>
            </a:ext>
          </a:extLst>
        </xdr:cNvPr>
        <xdr:cNvSpPr/>
      </xdr:nvSpPr>
      <xdr:spPr>
        <a:xfrm>
          <a:off x="2996835" y="2286000"/>
          <a:ext cx="877122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23390</xdr:colOff>
      <xdr:row>12</xdr:row>
      <xdr:rowOff>0</xdr:rowOff>
    </xdr:from>
    <xdr:to>
      <xdr:col>4</xdr:col>
      <xdr:colOff>558435</xdr:colOff>
      <xdr:row>13</xdr:row>
      <xdr:rowOff>63500</xdr:rowOff>
    </xdr:to>
    <xdr:sp macro="" textlink="">
      <xdr:nvSpPr>
        <xdr:cNvPr id="30248" name="Flowchart: Process 30247">
          <a:extLst>
            <a:ext uri="{FF2B5EF4-FFF2-40B4-BE49-F238E27FC236}">
              <a16:creationId xmlns:a16="http://schemas.microsoft.com/office/drawing/2014/main" id="{BF0EB8A3-17C2-4D3D-B1F2-64D2B09C8804}"/>
            </a:ext>
          </a:extLst>
        </xdr:cNvPr>
        <xdr:cNvSpPr/>
      </xdr:nvSpPr>
      <xdr:spPr>
        <a:xfrm>
          <a:off x="1242590" y="2286000"/>
          <a:ext cx="1754245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290912</xdr:colOff>
      <xdr:row>12</xdr:row>
      <xdr:rowOff>0</xdr:rowOff>
    </xdr:from>
    <xdr:to>
      <xdr:col>3</xdr:col>
      <xdr:colOff>290912</xdr:colOff>
      <xdr:row>13</xdr:row>
      <xdr:rowOff>63500</xdr:rowOff>
    </xdr:to>
    <xdr:cxnSp macro="">
      <xdr:nvCxnSpPr>
        <xdr:cNvPr id="30249" name="Straight Connector 30248">
          <a:extLst>
            <a:ext uri="{FF2B5EF4-FFF2-40B4-BE49-F238E27FC236}">
              <a16:creationId xmlns:a16="http://schemas.microsoft.com/office/drawing/2014/main" id="{B44CC501-61E9-48D8-86F3-19B4D230029A}"/>
            </a:ext>
          </a:extLst>
        </xdr:cNvPr>
        <xdr:cNvCxnSpPr/>
      </xdr:nvCxnSpPr>
      <xdr:spPr>
        <a:xfrm>
          <a:off x="2119712" y="2286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23390</xdr:colOff>
      <xdr:row>12</xdr:row>
      <xdr:rowOff>0</xdr:rowOff>
    </xdr:from>
    <xdr:to>
      <xdr:col>6</xdr:col>
      <xdr:colOff>251990</xdr:colOff>
      <xdr:row>13</xdr:row>
      <xdr:rowOff>63500</xdr:rowOff>
    </xdr:to>
    <xdr:sp macro="" textlink="">
      <xdr:nvSpPr>
        <xdr:cNvPr id="30250" name="Step_7d">
          <a:extLst>
            <a:ext uri="{FF2B5EF4-FFF2-40B4-BE49-F238E27FC236}">
              <a16:creationId xmlns:a16="http://schemas.microsoft.com/office/drawing/2014/main" id="{584942BF-556D-4CB1-B550-72C519547267}"/>
            </a:ext>
          </a:extLst>
        </xdr:cNvPr>
        <xdr:cNvSpPr/>
      </xdr:nvSpPr>
      <xdr:spPr>
        <a:xfrm>
          <a:off x="1242590" y="2286000"/>
          <a:ext cx="2667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Allow concrete to dry thoroughly</a:t>
          </a:r>
        </a:p>
      </xdr:txBody>
    </xdr:sp>
    <xdr:clientData/>
  </xdr:twoCellAnchor>
  <xdr:twoCellAnchor>
    <xdr:from>
      <xdr:col>4</xdr:col>
      <xdr:colOff>119873</xdr:colOff>
      <xdr:row>14</xdr:row>
      <xdr:rowOff>0</xdr:rowOff>
    </xdr:from>
    <xdr:to>
      <xdr:col>5</xdr:col>
      <xdr:colOff>387396</xdr:colOff>
      <xdr:row>15</xdr:row>
      <xdr:rowOff>63500</xdr:rowOff>
    </xdr:to>
    <xdr:sp macro="" textlink="">
      <xdr:nvSpPr>
        <xdr:cNvPr id="30251" name="Step_8">
          <a:extLst>
            <a:ext uri="{FF2B5EF4-FFF2-40B4-BE49-F238E27FC236}">
              <a16:creationId xmlns:a16="http://schemas.microsoft.com/office/drawing/2014/main" id="{063833A8-33F6-4B4E-BA1B-5569F35F7076}"/>
            </a:ext>
          </a:extLst>
        </xdr:cNvPr>
        <xdr:cNvSpPr/>
      </xdr:nvSpPr>
      <xdr:spPr>
        <a:xfrm>
          <a:off x="2558273" y="2667000"/>
          <a:ext cx="877123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387396</xdr:colOff>
      <xdr:row>14</xdr:row>
      <xdr:rowOff>0</xdr:rowOff>
    </xdr:from>
    <xdr:to>
      <xdr:col>6</xdr:col>
      <xdr:colOff>362543</xdr:colOff>
      <xdr:row>15</xdr:row>
      <xdr:rowOff>63500</xdr:rowOff>
    </xdr:to>
    <xdr:sp macro="" textlink="">
      <xdr:nvSpPr>
        <xdr:cNvPr id="30252" name="Flowchart: Process 30251">
          <a:extLst>
            <a:ext uri="{FF2B5EF4-FFF2-40B4-BE49-F238E27FC236}">
              <a16:creationId xmlns:a16="http://schemas.microsoft.com/office/drawing/2014/main" id="{32DEDB78-D7C1-4A0F-B4E7-0224A21FFB2D}"/>
            </a:ext>
          </a:extLst>
        </xdr:cNvPr>
        <xdr:cNvSpPr/>
      </xdr:nvSpPr>
      <xdr:spPr>
        <a:xfrm>
          <a:off x="3435396" y="2667000"/>
          <a:ext cx="58474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362543</xdr:colOff>
      <xdr:row>14</xdr:row>
      <xdr:rowOff>0</xdr:rowOff>
    </xdr:from>
    <xdr:to>
      <xdr:col>7</xdr:col>
      <xdr:colOff>45317</xdr:colOff>
      <xdr:row>15</xdr:row>
      <xdr:rowOff>63500</xdr:rowOff>
    </xdr:to>
    <xdr:sp macro="" textlink="">
      <xdr:nvSpPr>
        <xdr:cNvPr id="30253" name="Flowchart: Process 30252">
          <a:extLst>
            <a:ext uri="{FF2B5EF4-FFF2-40B4-BE49-F238E27FC236}">
              <a16:creationId xmlns:a16="http://schemas.microsoft.com/office/drawing/2014/main" id="{CC4DADB6-2231-467D-A099-9E4B2C6551A9}"/>
            </a:ext>
          </a:extLst>
        </xdr:cNvPr>
        <xdr:cNvSpPr/>
      </xdr:nvSpPr>
      <xdr:spPr>
        <a:xfrm>
          <a:off x="4020143" y="2667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119873</xdr:colOff>
      <xdr:row>14</xdr:row>
      <xdr:rowOff>0</xdr:rowOff>
    </xdr:from>
    <xdr:to>
      <xdr:col>6</xdr:col>
      <xdr:colOff>362544</xdr:colOff>
      <xdr:row>15</xdr:row>
      <xdr:rowOff>63500</xdr:rowOff>
    </xdr:to>
    <xdr:sp macro="" textlink="">
      <xdr:nvSpPr>
        <xdr:cNvPr id="30254" name="Flowchart: Process 30253">
          <a:extLst>
            <a:ext uri="{FF2B5EF4-FFF2-40B4-BE49-F238E27FC236}">
              <a16:creationId xmlns:a16="http://schemas.microsoft.com/office/drawing/2014/main" id="{305AD6B5-533C-4145-B255-DD99CB9CE410}"/>
            </a:ext>
          </a:extLst>
        </xdr:cNvPr>
        <xdr:cNvSpPr/>
      </xdr:nvSpPr>
      <xdr:spPr>
        <a:xfrm>
          <a:off x="2558273" y="2667000"/>
          <a:ext cx="1461871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119873</xdr:colOff>
      <xdr:row>14</xdr:row>
      <xdr:rowOff>0</xdr:rowOff>
    </xdr:from>
    <xdr:to>
      <xdr:col>4</xdr:col>
      <xdr:colOff>119873</xdr:colOff>
      <xdr:row>15</xdr:row>
      <xdr:rowOff>63500</xdr:rowOff>
    </xdr:to>
    <xdr:cxnSp macro="">
      <xdr:nvCxnSpPr>
        <xdr:cNvPr id="30255" name="Straight Connector 30254">
          <a:extLst>
            <a:ext uri="{FF2B5EF4-FFF2-40B4-BE49-F238E27FC236}">
              <a16:creationId xmlns:a16="http://schemas.microsoft.com/office/drawing/2014/main" id="{99229F34-8D59-4075-BAD4-D7B17332B415}"/>
            </a:ext>
          </a:extLst>
        </xdr:cNvPr>
        <xdr:cNvCxnSpPr/>
      </xdr:nvCxnSpPr>
      <xdr:spPr>
        <a:xfrm>
          <a:off x="2558273" y="2667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119873</xdr:colOff>
      <xdr:row>14</xdr:row>
      <xdr:rowOff>0</xdr:rowOff>
    </xdr:from>
    <xdr:to>
      <xdr:col>9</xdr:col>
      <xdr:colOff>246873</xdr:colOff>
      <xdr:row>15</xdr:row>
      <xdr:rowOff>63500</xdr:rowOff>
    </xdr:to>
    <xdr:sp macro="" textlink="">
      <xdr:nvSpPr>
        <xdr:cNvPr id="30256" name="Step_8d">
          <a:extLst>
            <a:ext uri="{FF2B5EF4-FFF2-40B4-BE49-F238E27FC236}">
              <a16:creationId xmlns:a16="http://schemas.microsoft.com/office/drawing/2014/main" id="{137E7ECA-B022-4193-9E1B-21122C1FAF7F}"/>
            </a:ext>
          </a:extLst>
        </xdr:cNvPr>
        <xdr:cNvSpPr/>
      </xdr:nvSpPr>
      <xdr:spPr>
        <a:xfrm>
          <a:off x="2558273" y="2667000"/>
          <a:ext cx="3175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Frame and sheet the joists and sub-floor</a:t>
          </a:r>
        </a:p>
      </xdr:txBody>
    </xdr:sp>
    <xdr:clientData/>
  </xdr:twoCellAnchor>
  <xdr:twoCellAnchor>
    <xdr:from>
      <xdr:col>5</xdr:col>
      <xdr:colOff>387396</xdr:colOff>
      <xdr:row>16</xdr:row>
      <xdr:rowOff>0</xdr:rowOff>
    </xdr:from>
    <xdr:to>
      <xdr:col>6</xdr:col>
      <xdr:colOff>362544</xdr:colOff>
      <xdr:row>17</xdr:row>
      <xdr:rowOff>63500</xdr:rowOff>
    </xdr:to>
    <xdr:sp macro="" textlink="">
      <xdr:nvSpPr>
        <xdr:cNvPr id="30257" name="Step_9">
          <a:extLst>
            <a:ext uri="{FF2B5EF4-FFF2-40B4-BE49-F238E27FC236}">
              <a16:creationId xmlns:a16="http://schemas.microsoft.com/office/drawing/2014/main" id="{F458223A-35AF-4B68-B046-93AFF4AA5B98}"/>
            </a:ext>
          </a:extLst>
        </xdr:cNvPr>
        <xdr:cNvSpPr/>
      </xdr:nvSpPr>
      <xdr:spPr>
        <a:xfrm>
          <a:off x="3435396" y="3048000"/>
          <a:ext cx="584748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16</xdr:row>
      <xdr:rowOff>0</xdr:rowOff>
    </xdr:from>
    <xdr:to>
      <xdr:col>7</xdr:col>
      <xdr:colOff>483880</xdr:colOff>
      <xdr:row>17</xdr:row>
      <xdr:rowOff>63500</xdr:rowOff>
    </xdr:to>
    <xdr:sp macro="" textlink="">
      <xdr:nvSpPr>
        <xdr:cNvPr id="30258" name="Flowchart: Process 30257">
          <a:extLst>
            <a:ext uri="{FF2B5EF4-FFF2-40B4-BE49-F238E27FC236}">
              <a16:creationId xmlns:a16="http://schemas.microsoft.com/office/drawing/2014/main" id="{78C1A51D-45C3-4A25-B05A-42956A583926}"/>
            </a:ext>
          </a:extLst>
        </xdr:cNvPr>
        <xdr:cNvSpPr/>
      </xdr:nvSpPr>
      <xdr:spPr>
        <a:xfrm>
          <a:off x="4020144" y="3048000"/>
          <a:ext cx="730936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483880</xdr:colOff>
      <xdr:row>16</xdr:row>
      <xdr:rowOff>0</xdr:rowOff>
    </xdr:from>
    <xdr:to>
      <xdr:col>8</xdr:col>
      <xdr:colOff>312841</xdr:colOff>
      <xdr:row>17</xdr:row>
      <xdr:rowOff>63500</xdr:rowOff>
    </xdr:to>
    <xdr:sp macro="" textlink="">
      <xdr:nvSpPr>
        <xdr:cNvPr id="30259" name="Flowchart: Process 30258">
          <a:extLst>
            <a:ext uri="{FF2B5EF4-FFF2-40B4-BE49-F238E27FC236}">
              <a16:creationId xmlns:a16="http://schemas.microsoft.com/office/drawing/2014/main" id="{E043BBB4-012E-4A47-BFE1-5693D8E846CE}"/>
            </a:ext>
          </a:extLst>
        </xdr:cNvPr>
        <xdr:cNvSpPr/>
      </xdr:nvSpPr>
      <xdr:spPr>
        <a:xfrm>
          <a:off x="4751080" y="3048000"/>
          <a:ext cx="438561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387396</xdr:colOff>
      <xdr:row>16</xdr:row>
      <xdr:rowOff>0</xdr:rowOff>
    </xdr:from>
    <xdr:to>
      <xdr:col>7</xdr:col>
      <xdr:colOff>483879</xdr:colOff>
      <xdr:row>17</xdr:row>
      <xdr:rowOff>63500</xdr:rowOff>
    </xdr:to>
    <xdr:sp macro="" textlink="">
      <xdr:nvSpPr>
        <xdr:cNvPr id="30260" name="Flowchart: Process 30259">
          <a:extLst>
            <a:ext uri="{FF2B5EF4-FFF2-40B4-BE49-F238E27FC236}">
              <a16:creationId xmlns:a16="http://schemas.microsoft.com/office/drawing/2014/main" id="{E4F0B102-A3E9-400E-8900-69D5DABE365F}"/>
            </a:ext>
          </a:extLst>
        </xdr:cNvPr>
        <xdr:cNvSpPr/>
      </xdr:nvSpPr>
      <xdr:spPr>
        <a:xfrm>
          <a:off x="3435396" y="3048000"/>
          <a:ext cx="1315683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387396</xdr:colOff>
      <xdr:row>16</xdr:row>
      <xdr:rowOff>0</xdr:rowOff>
    </xdr:from>
    <xdr:to>
      <xdr:col>5</xdr:col>
      <xdr:colOff>387396</xdr:colOff>
      <xdr:row>17</xdr:row>
      <xdr:rowOff>63500</xdr:rowOff>
    </xdr:to>
    <xdr:cxnSp macro="">
      <xdr:nvCxnSpPr>
        <xdr:cNvPr id="30261" name="Straight Connector 30260">
          <a:extLst>
            <a:ext uri="{FF2B5EF4-FFF2-40B4-BE49-F238E27FC236}">
              <a16:creationId xmlns:a16="http://schemas.microsoft.com/office/drawing/2014/main" id="{3086B804-C45E-4519-8948-5CEF5C9E7D91}"/>
            </a:ext>
          </a:extLst>
        </xdr:cNvPr>
        <xdr:cNvCxnSpPr/>
      </xdr:nvCxnSpPr>
      <xdr:spPr>
        <a:xfrm>
          <a:off x="3435396" y="3048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387396</xdr:colOff>
      <xdr:row>16</xdr:row>
      <xdr:rowOff>0</xdr:rowOff>
    </xdr:from>
    <xdr:to>
      <xdr:col>10</xdr:col>
      <xdr:colOff>577896</xdr:colOff>
      <xdr:row>17</xdr:row>
      <xdr:rowOff>63500</xdr:rowOff>
    </xdr:to>
    <xdr:sp macro="" textlink="">
      <xdr:nvSpPr>
        <xdr:cNvPr id="30262" name="Step_9d">
          <a:extLst>
            <a:ext uri="{FF2B5EF4-FFF2-40B4-BE49-F238E27FC236}">
              <a16:creationId xmlns:a16="http://schemas.microsoft.com/office/drawing/2014/main" id="{59CB787D-0C79-4AAA-ABEC-D9D31EC72D53}"/>
            </a:ext>
          </a:extLst>
        </xdr:cNvPr>
        <xdr:cNvSpPr/>
      </xdr:nvSpPr>
      <xdr:spPr>
        <a:xfrm>
          <a:off x="3435396" y="3048000"/>
          <a:ext cx="3238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Frame the exterior and load-bearing walls</a:t>
          </a:r>
        </a:p>
      </xdr:txBody>
    </xdr:sp>
    <xdr:clientData/>
  </xdr:twoCellAnchor>
  <xdr:twoCellAnchor>
    <xdr:from>
      <xdr:col>6</xdr:col>
      <xdr:colOff>362544</xdr:colOff>
      <xdr:row>18</xdr:row>
      <xdr:rowOff>0</xdr:rowOff>
    </xdr:from>
    <xdr:to>
      <xdr:col>7</xdr:col>
      <xdr:colOff>337692</xdr:colOff>
      <xdr:row>19</xdr:row>
      <xdr:rowOff>63500</xdr:rowOff>
    </xdr:to>
    <xdr:sp macro="" textlink="">
      <xdr:nvSpPr>
        <xdr:cNvPr id="30263" name="Step_10">
          <a:extLst>
            <a:ext uri="{FF2B5EF4-FFF2-40B4-BE49-F238E27FC236}">
              <a16:creationId xmlns:a16="http://schemas.microsoft.com/office/drawing/2014/main" id="{FA9DEA62-C6F4-468C-B7DD-1F15627ACE17}"/>
            </a:ext>
          </a:extLst>
        </xdr:cNvPr>
        <xdr:cNvSpPr/>
      </xdr:nvSpPr>
      <xdr:spPr>
        <a:xfrm>
          <a:off x="4020144" y="3429000"/>
          <a:ext cx="584748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337692</xdr:colOff>
      <xdr:row>18</xdr:row>
      <xdr:rowOff>0</xdr:rowOff>
    </xdr:from>
    <xdr:to>
      <xdr:col>8</xdr:col>
      <xdr:colOff>312841</xdr:colOff>
      <xdr:row>19</xdr:row>
      <xdr:rowOff>63500</xdr:rowOff>
    </xdr:to>
    <xdr:sp macro="" textlink="">
      <xdr:nvSpPr>
        <xdr:cNvPr id="30264" name="Flowchart: Process 30263">
          <a:extLst>
            <a:ext uri="{FF2B5EF4-FFF2-40B4-BE49-F238E27FC236}">
              <a16:creationId xmlns:a16="http://schemas.microsoft.com/office/drawing/2014/main" id="{9D38D37A-8B74-40B0-A3BD-39502BA159BD}"/>
            </a:ext>
          </a:extLst>
        </xdr:cNvPr>
        <xdr:cNvSpPr/>
      </xdr:nvSpPr>
      <xdr:spPr>
        <a:xfrm>
          <a:off x="4604892" y="3429000"/>
          <a:ext cx="584749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312841</xdr:colOff>
      <xdr:row>18</xdr:row>
      <xdr:rowOff>0</xdr:rowOff>
    </xdr:from>
    <xdr:to>
      <xdr:col>8</xdr:col>
      <xdr:colOff>605215</xdr:colOff>
      <xdr:row>19</xdr:row>
      <xdr:rowOff>63500</xdr:rowOff>
    </xdr:to>
    <xdr:sp macro="" textlink="">
      <xdr:nvSpPr>
        <xdr:cNvPr id="30265" name="Flowchart: Process 30264">
          <a:extLst>
            <a:ext uri="{FF2B5EF4-FFF2-40B4-BE49-F238E27FC236}">
              <a16:creationId xmlns:a16="http://schemas.microsoft.com/office/drawing/2014/main" id="{A996D7B8-72FB-4D44-BA46-7B499A8F3AA2}"/>
            </a:ext>
          </a:extLst>
        </xdr:cNvPr>
        <xdr:cNvSpPr/>
      </xdr:nvSpPr>
      <xdr:spPr>
        <a:xfrm>
          <a:off x="5189641" y="3429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18</xdr:row>
      <xdr:rowOff>0</xdr:rowOff>
    </xdr:from>
    <xdr:to>
      <xdr:col>8</xdr:col>
      <xdr:colOff>312840</xdr:colOff>
      <xdr:row>19</xdr:row>
      <xdr:rowOff>63500</xdr:rowOff>
    </xdr:to>
    <xdr:sp macro="" textlink="">
      <xdr:nvSpPr>
        <xdr:cNvPr id="30266" name="Flowchart: Process 30265">
          <a:extLst>
            <a:ext uri="{FF2B5EF4-FFF2-40B4-BE49-F238E27FC236}">
              <a16:creationId xmlns:a16="http://schemas.microsoft.com/office/drawing/2014/main" id="{F60329BF-30EE-4054-9B84-4146C0514F50}"/>
            </a:ext>
          </a:extLst>
        </xdr:cNvPr>
        <xdr:cNvSpPr/>
      </xdr:nvSpPr>
      <xdr:spPr>
        <a:xfrm>
          <a:off x="4020144" y="3429000"/>
          <a:ext cx="1169496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18</xdr:row>
      <xdr:rowOff>0</xdr:rowOff>
    </xdr:from>
    <xdr:to>
      <xdr:col>6</xdr:col>
      <xdr:colOff>362544</xdr:colOff>
      <xdr:row>19</xdr:row>
      <xdr:rowOff>63500</xdr:rowOff>
    </xdr:to>
    <xdr:cxnSp macro="">
      <xdr:nvCxnSpPr>
        <xdr:cNvPr id="30267" name="Straight Connector 30266">
          <a:extLst>
            <a:ext uri="{FF2B5EF4-FFF2-40B4-BE49-F238E27FC236}">
              <a16:creationId xmlns:a16="http://schemas.microsoft.com/office/drawing/2014/main" id="{AC24E9DC-BCD1-4A0E-84D3-6789FC2AD547}"/>
            </a:ext>
          </a:extLst>
        </xdr:cNvPr>
        <xdr:cNvCxnSpPr/>
      </xdr:nvCxnSpPr>
      <xdr:spPr>
        <a:xfrm>
          <a:off x="4020144" y="3429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362544</xdr:colOff>
      <xdr:row>18</xdr:row>
      <xdr:rowOff>0</xdr:rowOff>
    </xdr:from>
    <xdr:to>
      <xdr:col>9</xdr:col>
      <xdr:colOff>57744</xdr:colOff>
      <xdr:row>19</xdr:row>
      <xdr:rowOff>63500</xdr:rowOff>
    </xdr:to>
    <xdr:sp macro="" textlink="">
      <xdr:nvSpPr>
        <xdr:cNvPr id="30268" name="Step_10d">
          <a:extLst>
            <a:ext uri="{FF2B5EF4-FFF2-40B4-BE49-F238E27FC236}">
              <a16:creationId xmlns:a16="http://schemas.microsoft.com/office/drawing/2014/main" id="{2026E7EC-B735-4CFE-A795-4E04EC6CB5E8}"/>
            </a:ext>
          </a:extLst>
        </xdr:cNvPr>
        <xdr:cNvSpPr/>
      </xdr:nvSpPr>
      <xdr:spPr>
        <a:xfrm>
          <a:off x="4020144" y="3429000"/>
          <a:ext cx="1524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Frame the roof</a:t>
          </a:r>
        </a:p>
      </xdr:txBody>
    </xdr:sp>
    <xdr:clientData/>
  </xdr:twoCellAnchor>
  <xdr:twoCellAnchor>
    <xdr:from>
      <xdr:col>6</xdr:col>
      <xdr:colOff>362544</xdr:colOff>
      <xdr:row>20</xdr:row>
      <xdr:rowOff>0</xdr:rowOff>
    </xdr:from>
    <xdr:to>
      <xdr:col>8</xdr:col>
      <xdr:colOff>20466</xdr:colOff>
      <xdr:row>21</xdr:row>
      <xdr:rowOff>63500</xdr:rowOff>
    </xdr:to>
    <xdr:sp macro="" textlink="">
      <xdr:nvSpPr>
        <xdr:cNvPr id="30269" name="Step_11">
          <a:extLst>
            <a:ext uri="{FF2B5EF4-FFF2-40B4-BE49-F238E27FC236}">
              <a16:creationId xmlns:a16="http://schemas.microsoft.com/office/drawing/2014/main" id="{A93DA4B0-0785-4456-BF33-BE772F18725A}"/>
            </a:ext>
          </a:extLst>
        </xdr:cNvPr>
        <xdr:cNvSpPr/>
      </xdr:nvSpPr>
      <xdr:spPr>
        <a:xfrm>
          <a:off x="4020144" y="3810000"/>
          <a:ext cx="877122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20466</xdr:colOff>
      <xdr:row>20</xdr:row>
      <xdr:rowOff>0</xdr:rowOff>
    </xdr:from>
    <xdr:to>
      <xdr:col>8</xdr:col>
      <xdr:colOff>459028</xdr:colOff>
      <xdr:row>21</xdr:row>
      <xdr:rowOff>63500</xdr:rowOff>
    </xdr:to>
    <xdr:sp macro="" textlink="">
      <xdr:nvSpPr>
        <xdr:cNvPr id="30270" name="Flowchart: Process 30269">
          <a:extLst>
            <a:ext uri="{FF2B5EF4-FFF2-40B4-BE49-F238E27FC236}">
              <a16:creationId xmlns:a16="http://schemas.microsoft.com/office/drawing/2014/main" id="{ABCC5CFB-8232-4114-8204-7AB1B49D5969}"/>
            </a:ext>
          </a:extLst>
        </xdr:cNvPr>
        <xdr:cNvSpPr/>
      </xdr:nvSpPr>
      <xdr:spPr>
        <a:xfrm>
          <a:off x="4897266" y="3810000"/>
          <a:ext cx="438562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459028</xdr:colOff>
      <xdr:row>20</xdr:row>
      <xdr:rowOff>0</xdr:rowOff>
    </xdr:from>
    <xdr:to>
      <xdr:col>8</xdr:col>
      <xdr:colOff>605215</xdr:colOff>
      <xdr:row>21</xdr:row>
      <xdr:rowOff>63500</xdr:rowOff>
    </xdr:to>
    <xdr:sp macro="" textlink="">
      <xdr:nvSpPr>
        <xdr:cNvPr id="30271" name="Flowchart: Process 30270">
          <a:extLst>
            <a:ext uri="{FF2B5EF4-FFF2-40B4-BE49-F238E27FC236}">
              <a16:creationId xmlns:a16="http://schemas.microsoft.com/office/drawing/2014/main" id="{5FDABAE6-1F5B-4C25-9E2F-A136929B5146}"/>
            </a:ext>
          </a:extLst>
        </xdr:cNvPr>
        <xdr:cNvSpPr/>
      </xdr:nvSpPr>
      <xdr:spPr>
        <a:xfrm>
          <a:off x="5335828" y="3810000"/>
          <a:ext cx="146187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20</xdr:row>
      <xdr:rowOff>0</xdr:rowOff>
    </xdr:from>
    <xdr:to>
      <xdr:col>8</xdr:col>
      <xdr:colOff>459027</xdr:colOff>
      <xdr:row>21</xdr:row>
      <xdr:rowOff>63500</xdr:rowOff>
    </xdr:to>
    <xdr:sp macro="" textlink="">
      <xdr:nvSpPr>
        <xdr:cNvPr id="30272" name="Flowchart: Process 30271">
          <a:extLst>
            <a:ext uri="{FF2B5EF4-FFF2-40B4-BE49-F238E27FC236}">
              <a16:creationId xmlns:a16="http://schemas.microsoft.com/office/drawing/2014/main" id="{547CAF1A-FFB0-4087-A9F5-716408C8BFCC}"/>
            </a:ext>
          </a:extLst>
        </xdr:cNvPr>
        <xdr:cNvSpPr/>
      </xdr:nvSpPr>
      <xdr:spPr>
        <a:xfrm>
          <a:off x="4020144" y="3810000"/>
          <a:ext cx="1315683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20</xdr:row>
      <xdr:rowOff>0</xdr:rowOff>
    </xdr:from>
    <xdr:to>
      <xdr:col>6</xdr:col>
      <xdr:colOff>362544</xdr:colOff>
      <xdr:row>21</xdr:row>
      <xdr:rowOff>63500</xdr:rowOff>
    </xdr:to>
    <xdr:cxnSp macro="">
      <xdr:nvCxnSpPr>
        <xdr:cNvPr id="30273" name="Straight Connector 30272">
          <a:extLst>
            <a:ext uri="{FF2B5EF4-FFF2-40B4-BE49-F238E27FC236}">
              <a16:creationId xmlns:a16="http://schemas.microsoft.com/office/drawing/2014/main" id="{C5037CA4-6A8A-4FF3-BE7F-348ED351CD58}"/>
            </a:ext>
          </a:extLst>
        </xdr:cNvPr>
        <xdr:cNvCxnSpPr/>
      </xdr:nvCxnSpPr>
      <xdr:spPr>
        <a:xfrm>
          <a:off x="4020144" y="3810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362544</xdr:colOff>
      <xdr:row>20</xdr:row>
      <xdr:rowOff>0</xdr:rowOff>
    </xdr:from>
    <xdr:to>
      <xdr:col>10</xdr:col>
      <xdr:colOff>83144</xdr:colOff>
      <xdr:row>21</xdr:row>
      <xdr:rowOff>63500</xdr:rowOff>
    </xdr:to>
    <xdr:sp macro="" textlink="">
      <xdr:nvSpPr>
        <xdr:cNvPr id="30274" name="Step_11d">
          <a:extLst>
            <a:ext uri="{FF2B5EF4-FFF2-40B4-BE49-F238E27FC236}">
              <a16:creationId xmlns:a16="http://schemas.microsoft.com/office/drawing/2014/main" id="{02BF67CA-D03D-4A3B-B310-EAAA173559A8}"/>
            </a:ext>
          </a:extLst>
        </xdr:cNvPr>
        <xdr:cNvSpPr/>
      </xdr:nvSpPr>
      <xdr:spPr>
        <a:xfrm>
          <a:off x="4020144" y="3810000"/>
          <a:ext cx="2159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Sheet the exterior walls</a:t>
          </a:r>
        </a:p>
      </xdr:txBody>
    </xdr:sp>
    <xdr:clientData/>
  </xdr:twoCellAnchor>
  <xdr:twoCellAnchor>
    <xdr:from>
      <xdr:col>7</xdr:col>
      <xdr:colOff>337692</xdr:colOff>
      <xdr:row>22</xdr:row>
      <xdr:rowOff>0</xdr:rowOff>
    </xdr:from>
    <xdr:to>
      <xdr:col>8</xdr:col>
      <xdr:colOff>312841</xdr:colOff>
      <xdr:row>23</xdr:row>
      <xdr:rowOff>63500</xdr:rowOff>
    </xdr:to>
    <xdr:sp macro="" textlink="">
      <xdr:nvSpPr>
        <xdr:cNvPr id="30275" name="Step_12">
          <a:extLst>
            <a:ext uri="{FF2B5EF4-FFF2-40B4-BE49-F238E27FC236}">
              <a16:creationId xmlns:a16="http://schemas.microsoft.com/office/drawing/2014/main" id="{365EDEEF-1693-43C6-9F44-B9D54E20F6B7}"/>
            </a:ext>
          </a:extLst>
        </xdr:cNvPr>
        <xdr:cNvSpPr/>
      </xdr:nvSpPr>
      <xdr:spPr>
        <a:xfrm>
          <a:off x="4604892" y="4191000"/>
          <a:ext cx="584749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312841</xdr:colOff>
      <xdr:row>22</xdr:row>
      <xdr:rowOff>0</xdr:rowOff>
    </xdr:from>
    <xdr:to>
      <xdr:col>8</xdr:col>
      <xdr:colOff>605215</xdr:colOff>
      <xdr:row>23</xdr:row>
      <xdr:rowOff>63500</xdr:rowOff>
    </xdr:to>
    <xdr:sp macro="" textlink="">
      <xdr:nvSpPr>
        <xdr:cNvPr id="30276" name="Flowchart: Process 30275">
          <a:extLst>
            <a:ext uri="{FF2B5EF4-FFF2-40B4-BE49-F238E27FC236}">
              <a16:creationId xmlns:a16="http://schemas.microsoft.com/office/drawing/2014/main" id="{C54B4F5A-EF2E-4C0A-B888-0FA3514B07F5}"/>
            </a:ext>
          </a:extLst>
        </xdr:cNvPr>
        <xdr:cNvSpPr/>
      </xdr:nvSpPr>
      <xdr:spPr>
        <a:xfrm>
          <a:off x="5189641" y="4191000"/>
          <a:ext cx="292374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605215</xdr:colOff>
      <xdr:row>22</xdr:row>
      <xdr:rowOff>0</xdr:rowOff>
    </xdr:from>
    <xdr:to>
      <xdr:col>9</xdr:col>
      <xdr:colOff>434175</xdr:colOff>
      <xdr:row>23</xdr:row>
      <xdr:rowOff>63500</xdr:rowOff>
    </xdr:to>
    <xdr:sp macro="" textlink="">
      <xdr:nvSpPr>
        <xdr:cNvPr id="30277" name="Flowchart: Process 30276">
          <a:extLst>
            <a:ext uri="{FF2B5EF4-FFF2-40B4-BE49-F238E27FC236}">
              <a16:creationId xmlns:a16="http://schemas.microsoft.com/office/drawing/2014/main" id="{C8761FDA-0BF6-46EC-87C1-B7321F450F73}"/>
            </a:ext>
          </a:extLst>
        </xdr:cNvPr>
        <xdr:cNvSpPr/>
      </xdr:nvSpPr>
      <xdr:spPr>
        <a:xfrm>
          <a:off x="5482015" y="4191000"/>
          <a:ext cx="438560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337692</xdr:colOff>
      <xdr:row>22</xdr:row>
      <xdr:rowOff>0</xdr:rowOff>
    </xdr:from>
    <xdr:to>
      <xdr:col>8</xdr:col>
      <xdr:colOff>605215</xdr:colOff>
      <xdr:row>23</xdr:row>
      <xdr:rowOff>63500</xdr:rowOff>
    </xdr:to>
    <xdr:sp macro="" textlink="">
      <xdr:nvSpPr>
        <xdr:cNvPr id="30278" name="Flowchart: Process 30277">
          <a:extLst>
            <a:ext uri="{FF2B5EF4-FFF2-40B4-BE49-F238E27FC236}">
              <a16:creationId xmlns:a16="http://schemas.microsoft.com/office/drawing/2014/main" id="{F26995EE-63D4-49D8-B08A-800106996AAE}"/>
            </a:ext>
          </a:extLst>
        </xdr:cNvPr>
        <xdr:cNvSpPr/>
      </xdr:nvSpPr>
      <xdr:spPr>
        <a:xfrm>
          <a:off x="4604892" y="4191000"/>
          <a:ext cx="877123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337692</xdr:colOff>
      <xdr:row>22</xdr:row>
      <xdr:rowOff>0</xdr:rowOff>
    </xdr:from>
    <xdr:to>
      <xdr:col>7</xdr:col>
      <xdr:colOff>337692</xdr:colOff>
      <xdr:row>23</xdr:row>
      <xdr:rowOff>63500</xdr:rowOff>
    </xdr:to>
    <xdr:cxnSp macro="">
      <xdr:nvCxnSpPr>
        <xdr:cNvPr id="30279" name="Straight Connector 30278">
          <a:extLst>
            <a:ext uri="{FF2B5EF4-FFF2-40B4-BE49-F238E27FC236}">
              <a16:creationId xmlns:a16="http://schemas.microsoft.com/office/drawing/2014/main" id="{C4D6CB69-4B37-4101-8171-BF656539CC34}"/>
            </a:ext>
          </a:extLst>
        </xdr:cNvPr>
        <xdr:cNvCxnSpPr/>
      </xdr:nvCxnSpPr>
      <xdr:spPr>
        <a:xfrm>
          <a:off x="4604892" y="4191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337692</xdr:colOff>
      <xdr:row>22</xdr:row>
      <xdr:rowOff>0</xdr:rowOff>
    </xdr:from>
    <xdr:to>
      <xdr:col>10</xdr:col>
      <xdr:colOff>32892</xdr:colOff>
      <xdr:row>23</xdr:row>
      <xdr:rowOff>63500</xdr:rowOff>
    </xdr:to>
    <xdr:sp macro="" textlink="">
      <xdr:nvSpPr>
        <xdr:cNvPr id="30280" name="Step_12d">
          <a:extLst>
            <a:ext uri="{FF2B5EF4-FFF2-40B4-BE49-F238E27FC236}">
              <a16:creationId xmlns:a16="http://schemas.microsoft.com/office/drawing/2014/main" id="{E9A21C66-6DB5-46AE-8721-3B97A9DEC0DE}"/>
            </a:ext>
          </a:extLst>
        </xdr:cNvPr>
        <xdr:cNvSpPr/>
      </xdr:nvSpPr>
      <xdr:spPr>
        <a:xfrm>
          <a:off x="4604892" y="4191000"/>
          <a:ext cx="1524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Sheet the roof</a:t>
          </a:r>
        </a:p>
      </xdr:txBody>
    </xdr:sp>
    <xdr:clientData/>
  </xdr:twoCellAnchor>
  <xdr:twoCellAnchor>
    <xdr:from>
      <xdr:col>8</xdr:col>
      <xdr:colOff>312840</xdr:colOff>
      <xdr:row>24</xdr:row>
      <xdr:rowOff>0</xdr:rowOff>
    </xdr:from>
    <xdr:to>
      <xdr:col>9</xdr:col>
      <xdr:colOff>580363</xdr:colOff>
      <xdr:row>25</xdr:row>
      <xdr:rowOff>63500</xdr:rowOff>
    </xdr:to>
    <xdr:sp macro="" textlink="">
      <xdr:nvSpPr>
        <xdr:cNvPr id="30281" name="Step_13">
          <a:extLst>
            <a:ext uri="{FF2B5EF4-FFF2-40B4-BE49-F238E27FC236}">
              <a16:creationId xmlns:a16="http://schemas.microsoft.com/office/drawing/2014/main" id="{7B93A963-A170-45E7-8DE3-F69C24928B05}"/>
            </a:ext>
          </a:extLst>
        </xdr:cNvPr>
        <xdr:cNvSpPr/>
      </xdr:nvSpPr>
      <xdr:spPr>
        <a:xfrm>
          <a:off x="5189640" y="4572000"/>
          <a:ext cx="877123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580363</xdr:colOff>
      <xdr:row>24</xdr:row>
      <xdr:rowOff>0</xdr:rowOff>
    </xdr:from>
    <xdr:to>
      <xdr:col>10</xdr:col>
      <xdr:colOff>409324</xdr:colOff>
      <xdr:row>25</xdr:row>
      <xdr:rowOff>63500</xdr:rowOff>
    </xdr:to>
    <xdr:sp macro="" textlink="">
      <xdr:nvSpPr>
        <xdr:cNvPr id="30282" name="Flowchart: Process 30281">
          <a:extLst>
            <a:ext uri="{FF2B5EF4-FFF2-40B4-BE49-F238E27FC236}">
              <a16:creationId xmlns:a16="http://schemas.microsoft.com/office/drawing/2014/main" id="{D7914C35-26CD-4E98-9FE0-E9172A317874}"/>
            </a:ext>
          </a:extLst>
        </xdr:cNvPr>
        <xdr:cNvSpPr/>
      </xdr:nvSpPr>
      <xdr:spPr>
        <a:xfrm>
          <a:off x="6066763" y="4572000"/>
          <a:ext cx="438561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409324</xdr:colOff>
      <xdr:row>24</xdr:row>
      <xdr:rowOff>0</xdr:rowOff>
    </xdr:from>
    <xdr:to>
      <xdr:col>10</xdr:col>
      <xdr:colOff>555510</xdr:colOff>
      <xdr:row>25</xdr:row>
      <xdr:rowOff>63500</xdr:rowOff>
    </xdr:to>
    <xdr:sp macro="" textlink="">
      <xdr:nvSpPr>
        <xdr:cNvPr id="30283" name="Flowchart: Process 30282">
          <a:extLst>
            <a:ext uri="{FF2B5EF4-FFF2-40B4-BE49-F238E27FC236}">
              <a16:creationId xmlns:a16="http://schemas.microsoft.com/office/drawing/2014/main" id="{C072F053-FEE0-4157-B9C8-591D5409FB6A}"/>
            </a:ext>
          </a:extLst>
        </xdr:cNvPr>
        <xdr:cNvSpPr/>
      </xdr:nvSpPr>
      <xdr:spPr>
        <a:xfrm>
          <a:off x="6505324" y="4572000"/>
          <a:ext cx="146186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24</xdr:row>
      <xdr:rowOff>0</xdr:rowOff>
    </xdr:from>
    <xdr:to>
      <xdr:col>10</xdr:col>
      <xdr:colOff>409324</xdr:colOff>
      <xdr:row>25</xdr:row>
      <xdr:rowOff>63500</xdr:rowOff>
    </xdr:to>
    <xdr:sp macro="" textlink="">
      <xdr:nvSpPr>
        <xdr:cNvPr id="30284" name="Flowchart: Process 30283">
          <a:extLst>
            <a:ext uri="{FF2B5EF4-FFF2-40B4-BE49-F238E27FC236}">
              <a16:creationId xmlns:a16="http://schemas.microsoft.com/office/drawing/2014/main" id="{21DB9331-E699-45DD-AA66-B63699F6E32F}"/>
            </a:ext>
          </a:extLst>
        </xdr:cNvPr>
        <xdr:cNvSpPr/>
      </xdr:nvSpPr>
      <xdr:spPr>
        <a:xfrm>
          <a:off x="5189640" y="4572000"/>
          <a:ext cx="131568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24</xdr:row>
      <xdr:rowOff>0</xdr:rowOff>
    </xdr:from>
    <xdr:to>
      <xdr:col>8</xdr:col>
      <xdr:colOff>312840</xdr:colOff>
      <xdr:row>25</xdr:row>
      <xdr:rowOff>63500</xdr:rowOff>
    </xdr:to>
    <xdr:cxnSp macro="">
      <xdr:nvCxnSpPr>
        <xdr:cNvPr id="30285" name="Straight Connector 30284">
          <a:extLst>
            <a:ext uri="{FF2B5EF4-FFF2-40B4-BE49-F238E27FC236}">
              <a16:creationId xmlns:a16="http://schemas.microsoft.com/office/drawing/2014/main" id="{CDFFD6D9-C6DE-4DCD-AA36-83944C1A8AD0}"/>
            </a:ext>
          </a:extLst>
        </xdr:cNvPr>
        <xdr:cNvCxnSpPr/>
      </xdr:nvCxnSpPr>
      <xdr:spPr>
        <a:xfrm>
          <a:off x="5189640" y="4572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312840</xdr:colOff>
      <xdr:row>24</xdr:row>
      <xdr:rowOff>0</xdr:rowOff>
    </xdr:from>
    <xdr:to>
      <xdr:col>11</xdr:col>
      <xdr:colOff>135040</xdr:colOff>
      <xdr:row>25</xdr:row>
      <xdr:rowOff>63500</xdr:rowOff>
    </xdr:to>
    <xdr:sp macro="" textlink="">
      <xdr:nvSpPr>
        <xdr:cNvPr id="30286" name="Step_13d">
          <a:extLst>
            <a:ext uri="{FF2B5EF4-FFF2-40B4-BE49-F238E27FC236}">
              <a16:creationId xmlns:a16="http://schemas.microsoft.com/office/drawing/2014/main" id="{3169EB58-E627-475B-B477-BAF31914A995}"/>
            </a:ext>
          </a:extLst>
        </xdr:cNvPr>
        <xdr:cNvSpPr/>
      </xdr:nvSpPr>
      <xdr:spPr>
        <a:xfrm>
          <a:off x="5189640" y="4572000"/>
          <a:ext cx="1651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Shingle the roof</a:t>
          </a:r>
        </a:p>
      </xdr:txBody>
    </xdr:sp>
    <xdr:clientData/>
  </xdr:twoCellAnchor>
  <xdr:twoCellAnchor>
    <xdr:from>
      <xdr:col>8</xdr:col>
      <xdr:colOff>312840</xdr:colOff>
      <xdr:row>26</xdr:row>
      <xdr:rowOff>0</xdr:rowOff>
    </xdr:from>
    <xdr:to>
      <xdr:col>8</xdr:col>
      <xdr:colOff>459027</xdr:colOff>
      <xdr:row>27</xdr:row>
      <xdr:rowOff>63500</xdr:rowOff>
    </xdr:to>
    <xdr:sp macro="" textlink="">
      <xdr:nvSpPr>
        <xdr:cNvPr id="30287" name="Step_14">
          <a:extLst>
            <a:ext uri="{FF2B5EF4-FFF2-40B4-BE49-F238E27FC236}">
              <a16:creationId xmlns:a16="http://schemas.microsoft.com/office/drawing/2014/main" id="{B7AAE891-C1D6-46CD-AE95-0386FB83422B}"/>
            </a:ext>
          </a:extLst>
        </xdr:cNvPr>
        <xdr:cNvSpPr/>
      </xdr:nvSpPr>
      <xdr:spPr>
        <a:xfrm>
          <a:off x="5189640" y="4953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459027</xdr:colOff>
      <xdr:row>26</xdr:row>
      <xdr:rowOff>0</xdr:rowOff>
    </xdr:from>
    <xdr:to>
      <xdr:col>8</xdr:col>
      <xdr:colOff>605214</xdr:colOff>
      <xdr:row>27</xdr:row>
      <xdr:rowOff>63500</xdr:rowOff>
    </xdr:to>
    <xdr:sp macro="" textlink="">
      <xdr:nvSpPr>
        <xdr:cNvPr id="30288" name="Flowchart: Process 30287">
          <a:extLst>
            <a:ext uri="{FF2B5EF4-FFF2-40B4-BE49-F238E27FC236}">
              <a16:creationId xmlns:a16="http://schemas.microsoft.com/office/drawing/2014/main" id="{2F2ADD57-F168-446F-8BF8-A81E3F1426F9}"/>
            </a:ext>
          </a:extLst>
        </xdr:cNvPr>
        <xdr:cNvSpPr/>
      </xdr:nvSpPr>
      <xdr:spPr>
        <a:xfrm>
          <a:off x="5335827" y="4953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605214</xdr:colOff>
      <xdr:row>26</xdr:row>
      <xdr:rowOff>0</xdr:rowOff>
    </xdr:from>
    <xdr:to>
      <xdr:col>9</xdr:col>
      <xdr:colOff>287988</xdr:colOff>
      <xdr:row>27</xdr:row>
      <xdr:rowOff>63500</xdr:rowOff>
    </xdr:to>
    <xdr:sp macro="" textlink="">
      <xdr:nvSpPr>
        <xdr:cNvPr id="30289" name="Flowchart: Process 30288">
          <a:extLst>
            <a:ext uri="{FF2B5EF4-FFF2-40B4-BE49-F238E27FC236}">
              <a16:creationId xmlns:a16="http://schemas.microsoft.com/office/drawing/2014/main" id="{9F5E45DC-C89D-4AD3-8E7B-8B20A00A2B21}"/>
            </a:ext>
          </a:extLst>
        </xdr:cNvPr>
        <xdr:cNvSpPr/>
      </xdr:nvSpPr>
      <xdr:spPr>
        <a:xfrm>
          <a:off x="5482014" y="4953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26</xdr:row>
      <xdr:rowOff>0</xdr:rowOff>
    </xdr:from>
    <xdr:to>
      <xdr:col>8</xdr:col>
      <xdr:colOff>605214</xdr:colOff>
      <xdr:row>27</xdr:row>
      <xdr:rowOff>63500</xdr:rowOff>
    </xdr:to>
    <xdr:sp macro="" textlink="">
      <xdr:nvSpPr>
        <xdr:cNvPr id="30290" name="Flowchart: Process 30289">
          <a:extLst>
            <a:ext uri="{FF2B5EF4-FFF2-40B4-BE49-F238E27FC236}">
              <a16:creationId xmlns:a16="http://schemas.microsoft.com/office/drawing/2014/main" id="{29C67E31-E0BE-4E40-ACC2-77B82965EB5A}"/>
            </a:ext>
          </a:extLst>
        </xdr:cNvPr>
        <xdr:cNvSpPr/>
      </xdr:nvSpPr>
      <xdr:spPr>
        <a:xfrm>
          <a:off x="5189640" y="4953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26</xdr:row>
      <xdr:rowOff>0</xdr:rowOff>
    </xdr:from>
    <xdr:to>
      <xdr:col>8</xdr:col>
      <xdr:colOff>312840</xdr:colOff>
      <xdr:row>27</xdr:row>
      <xdr:rowOff>63500</xdr:rowOff>
    </xdr:to>
    <xdr:cxnSp macro="">
      <xdr:nvCxnSpPr>
        <xdr:cNvPr id="30291" name="Straight Connector 30290">
          <a:extLst>
            <a:ext uri="{FF2B5EF4-FFF2-40B4-BE49-F238E27FC236}">
              <a16:creationId xmlns:a16="http://schemas.microsoft.com/office/drawing/2014/main" id="{0194DD0C-5C3B-4329-9FB5-B8C34CDCF6C3}"/>
            </a:ext>
          </a:extLst>
        </xdr:cNvPr>
        <xdr:cNvCxnSpPr/>
      </xdr:nvCxnSpPr>
      <xdr:spPr>
        <a:xfrm>
          <a:off x="5189640" y="4953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312840</xdr:colOff>
      <xdr:row>26</xdr:row>
      <xdr:rowOff>0</xdr:rowOff>
    </xdr:from>
    <xdr:to>
      <xdr:col>11</xdr:col>
      <xdr:colOff>262040</xdr:colOff>
      <xdr:row>27</xdr:row>
      <xdr:rowOff>63500</xdr:rowOff>
    </xdr:to>
    <xdr:sp macro="" textlink="">
      <xdr:nvSpPr>
        <xdr:cNvPr id="30292" name="Step_14d">
          <a:extLst>
            <a:ext uri="{FF2B5EF4-FFF2-40B4-BE49-F238E27FC236}">
              <a16:creationId xmlns:a16="http://schemas.microsoft.com/office/drawing/2014/main" id="{0F365704-231A-453A-A90C-01B48ACCEE03}"/>
            </a:ext>
          </a:extLst>
        </xdr:cNvPr>
        <xdr:cNvSpPr/>
      </xdr:nvSpPr>
      <xdr:spPr>
        <a:xfrm>
          <a:off x="5189640" y="4953000"/>
          <a:ext cx="1778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electrical</a:t>
          </a:r>
        </a:p>
      </xdr:txBody>
    </xdr:sp>
    <xdr:clientData/>
  </xdr:twoCellAnchor>
  <xdr:twoCellAnchor>
    <xdr:from>
      <xdr:col>8</xdr:col>
      <xdr:colOff>312840</xdr:colOff>
      <xdr:row>28</xdr:row>
      <xdr:rowOff>0</xdr:rowOff>
    </xdr:from>
    <xdr:to>
      <xdr:col>8</xdr:col>
      <xdr:colOff>459027</xdr:colOff>
      <xdr:row>29</xdr:row>
      <xdr:rowOff>63500</xdr:rowOff>
    </xdr:to>
    <xdr:sp macro="" textlink="">
      <xdr:nvSpPr>
        <xdr:cNvPr id="30293" name="Step_15">
          <a:extLst>
            <a:ext uri="{FF2B5EF4-FFF2-40B4-BE49-F238E27FC236}">
              <a16:creationId xmlns:a16="http://schemas.microsoft.com/office/drawing/2014/main" id="{548E9D20-EA78-4A1C-81AB-2CFC8BBEDB3F}"/>
            </a:ext>
          </a:extLst>
        </xdr:cNvPr>
        <xdr:cNvSpPr/>
      </xdr:nvSpPr>
      <xdr:spPr>
        <a:xfrm>
          <a:off x="5189640" y="5334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459027</xdr:colOff>
      <xdr:row>28</xdr:row>
      <xdr:rowOff>0</xdr:rowOff>
    </xdr:from>
    <xdr:to>
      <xdr:col>8</xdr:col>
      <xdr:colOff>605214</xdr:colOff>
      <xdr:row>29</xdr:row>
      <xdr:rowOff>63500</xdr:rowOff>
    </xdr:to>
    <xdr:sp macro="" textlink="">
      <xdr:nvSpPr>
        <xdr:cNvPr id="30294" name="Flowchart: Process 30293">
          <a:extLst>
            <a:ext uri="{FF2B5EF4-FFF2-40B4-BE49-F238E27FC236}">
              <a16:creationId xmlns:a16="http://schemas.microsoft.com/office/drawing/2014/main" id="{4B17EFB9-23E0-4E38-A9A8-799A468DDC70}"/>
            </a:ext>
          </a:extLst>
        </xdr:cNvPr>
        <xdr:cNvSpPr/>
      </xdr:nvSpPr>
      <xdr:spPr>
        <a:xfrm>
          <a:off x="5335827" y="5334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605214</xdr:colOff>
      <xdr:row>28</xdr:row>
      <xdr:rowOff>0</xdr:rowOff>
    </xdr:from>
    <xdr:to>
      <xdr:col>9</xdr:col>
      <xdr:colOff>287988</xdr:colOff>
      <xdr:row>29</xdr:row>
      <xdr:rowOff>63500</xdr:rowOff>
    </xdr:to>
    <xdr:sp macro="" textlink="">
      <xdr:nvSpPr>
        <xdr:cNvPr id="30295" name="Flowchart: Process 30294">
          <a:extLst>
            <a:ext uri="{FF2B5EF4-FFF2-40B4-BE49-F238E27FC236}">
              <a16:creationId xmlns:a16="http://schemas.microsoft.com/office/drawing/2014/main" id="{2F38869C-526E-41E0-8ABD-EA9A81ED7E79}"/>
            </a:ext>
          </a:extLst>
        </xdr:cNvPr>
        <xdr:cNvSpPr/>
      </xdr:nvSpPr>
      <xdr:spPr>
        <a:xfrm>
          <a:off x="5482014" y="5334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28</xdr:row>
      <xdr:rowOff>0</xdr:rowOff>
    </xdr:from>
    <xdr:to>
      <xdr:col>8</xdr:col>
      <xdr:colOff>605214</xdr:colOff>
      <xdr:row>29</xdr:row>
      <xdr:rowOff>63500</xdr:rowOff>
    </xdr:to>
    <xdr:sp macro="" textlink="">
      <xdr:nvSpPr>
        <xdr:cNvPr id="30296" name="Flowchart: Process 30295">
          <a:extLst>
            <a:ext uri="{FF2B5EF4-FFF2-40B4-BE49-F238E27FC236}">
              <a16:creationId xmlns:a16="http://schemas.microsoft.com/office/drawing/2014/main" id="{3125CC78-C7EA-42BF-89E4-9FAF6E78AF19}"/>
            </a:ext>
          </a:extLst>
        </xdr:cNvPr>
        <xdr:cNvSpPr/>
      </xdr:nvSpPr>
      <xdr:spPr>
        <a:xfrm>
          <a:off x="5189640" y="5334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312840</xdr:colOff>
      <xdr:row>28</xdr:row>
      <xdr:rowOff>0</xdr:rowOff>
    </xdr:from>
    <xdr:to>
      <xdr:col>8</xdr:col>
      <xdr:colOff>312840</xdr:colOff>
      <xdr:row>29</xdr:row>
      <xdr:rowOff>63500</xdr:rowOff>
    </xdr:to>
    <xdr:cxnSp macro="">
      <xdr:nvCxnSpPr>
        <xdr:cNvPr id="30297" name="Straight Connector 30296">
          <a:extLst>
            <a:ext uri="{FF2B5EF4-FFF2-40B4-BE49-F238E27FC236}">
              <a16:creationId xmlns:a16="http://schemas.microsoft.com/office/drawing/2014/main" id="{C4A743F6-94F7-466F-A0B1-4BD3834A0801}"/>
            </a:ext>
          </a:extLst>
        </xdr:cNvPr>
        <xdr:cNvCxnSpPr/>
      </xdr:nvCxnSpPr>
      <xdr:spPr>
        <a:xfrm>
          <a:off x="5189640" y="5334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312840</xdr:colOff>
      <xdr:row>28</xdr:row>
      <xdr:rowOff>0</xdr:rowOff>
    </xdr:from>
    <xdr:to>
      <xdr:col>11</xdr:col>
      <xdr:colOff>135040</xdr:colOff>
      <xdr:row>29</xdr:row>
      <xdr:rowOff>63500</xdr:rowOff>
    </xdr:to>
    <xdr:sp macro="" textlink="">
      <xdr:nvSpPr>
        <xdr:cNvPr id="30298" name="Step_15d">
          <a:extLst>
            <a:ext uri="{FF2B5EF4-FFF2-40B4-BE49-F238E27FC236}">
              <a16:creationId xmlns:a16="http://schemas.microsoft.com/office/drawing/2014/main" id="{A8756FB5-10CC-4245-8C18-E60C62C50913}"/>
            </a:ext>
          </a:extLst>
        </xdr:cNvPr>
        <xdr:cNvSpPr/>
      </xdr:nvSpPr>
      <xdr:spPr>
        <a:xfrm>
          <a:off x="5189640" y="5334000"/>
          <a:ext cx="1651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plumbing</a:t>
          </a:r>
        </a:p>
      </xdr:txBody>
    </xdr:sp>
    <xdr:clientData/>
  </xdr:twoCellAnchor>
  <xdr:twoCellAnchor>
    <xdr:from>
      <xdr:col>8</xdr:col>
      <xdr:colOff>459027</xdr:colOff>
      <xdr:row>30</xdr:row>
      <xdr:rowOff>0</xdr:rowOff>
    </xdr:from>
    <xdr:to>
      <xdr:col>8</xdr:col>
      <xdr:colOff>605215</xdr:colOff>
      <xdr:row>31</xdr:row>
      <xdr:rowOff>63500</xdr:rowOff>
    </xdr:to>
    <xdr:sp macro="" textlink="">
      <xdr:nvSpPr>
        <xdr:cNvPr id="30299" name="Step_16">
          <a:extLst>
            <a:ext uri="{FF2B5EF4-FFF2-40B4-BE49-F238E27FC236}">
              <a16:creationId xmlns:a16="http://schemas.microsoft.com/office/drawing/2014/main" id="{C0054514-21AD-4959-B9E4-2772D1525703}"/>
            </a:ext>
          </a:extLst>
        </xdr:cNvPr>
        <xdr:cNvSpPr/>
      </xdr:nvSpPr>
      <xdr:spPr>
        <a:xfrm>
          <a:off x="5335827" y="5715000"/>
          <a:ext cx="146188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605215</xdr:colOff>
      <xdr:row>30</xdr:row>
      <xdr:rowOff>0</xdr:rowOff>
    </xdr:from>
    <xdr:to>
      <xdr:col>9</xdr:col>
      <xdr:colOff>141801</xdr:colOff>
      <xdr:row>31</xdr:row>
      <xdr:rowOff>63500</xdr:rowOff>
    </xdr:to>
    <xdr:sp macro="" textlink="">
      <xdr:nvSpPr>
        <xdr:cNvPr id="30300" name="Flowchart: Process 30299">
          <a:extLst>
            <a:ext uri="{FF2B5EF4-FFF2-40B4-BE49-F238E27FC236}">
              <a16:creationId xmlns:a16="http://schemas.microsoft.com/office/drawing/2014/main" id="{7FACE73D-FDE4-4704-A576-2DB4AB373EEB}"/>
            </a:ext>
          </a:extLst>
        </xdr:cNvPr>
        <xdr:cNvSpPr/>
      </xdr:nvSpPr>
      <xdr:spPr>
        <a:xfrm>
          <a:off x="5482015" y="5715000"/>
          <a:ext cx="146186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141801</xdr:colOff>
      <xdr:row>30</xdr:row>
      <xdr:rowOff>0</xdr:rowOff>
    </xdr:from>
    <xdr:to>
      <xdr:col>9</xdr:col>
      <xdr:colOff>434175</xdr:colOff>
      <xdr:row>31</xdr:row>
      <xdr:rowOff>63500</xdr:rowOff>
    </xdr:to>
    <xdr:sp macro="" textlink="">
      <xdr:nvSpPr>
        <xdr:cNvPr id="30301" name="Flowchart: Process 30300">
          <a:extLst>
            <a:ext uri="{FF2B5EF4-FFF2-40B4-BE49-F238E27FC236}">
              <a16:creationId xmlns:a16="http://schemas.microsoft.com/office/drawing/2014/main" id="{65EC785D-FDD5-479F-862B-87E057CBD84F}"/>
            </a:ext>
          </a:extLst>
        </xdr:cNvPr>
        <xdr:cNvSpPr/>
      </xdr:nvSpPr>
      <xdr:spPr>
        <a:xfrm>
          <a:off x="5628201" y="5715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459027</xdr:colOff>
      <xdr:row>30</xdr:row>
      <xdr:rowOff>0</xdr:rowOff>
    </xdr:from>
    <xdr:to>
      <xdr:col>9</xdr:col>
      <xdr:colOff>141801</xdr:colOff>
      <xdr:row>31</xdr:row>
      <xdr:rowOff>63500</xdr:rowOff>
    </xdr:to>
    <xdr:sp macro="" textlink="">
      <xdr:nvSpPr>
        <xdr:cNvPr id="30302" name="Flowchart: Process 30301">
          <a:extLst>
            <a:ext uri="{FF2B5EF4-FFF2-40B4-BE49-F238E27FC236}">
              <a16:creationId xmlns:a16="http://schemas.microsoft.com/office/drawing/2014/main" id="{C1F22018-B64A-422A-9945-9DFCCF72AC89}"/>
            </a:ext>
          </a:extLst>
        </xdr:cNvPr>
        <xdr:cNvSpPr/>
      </xdr:nvSpPr>
      <xdr:spPr>
        <a:xfrm>
          <a:off x="5335827" y="5715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459027</xdr:colOff>
      <xdr:row>30</xdr:row>
      <xdr:rowOff>0</xdr:rowOff>
    </xdr:from>
    <xdr:to>
      <xdr:col>8</xdr:col>
      <xdr:colOff>459027</xdr:colOff>
      <xdr:row>31</xdr:row>
      <xdr:rowOff>63500</xdr:rowOff>
    </xdr:to>
    <xdr:cxnSp macro="">
      <xdr:nvCxnSpPr>
        <xdr:cNvPr id="30303" name="Straight Connector 30302">
          <a:extLst>
            <a:ext uri="{FF2B5EF4-FFF2-40B4-BE49-F238E27FC236}">
              <a16:creationId xmlns:a16="http://schemas.microsoft.com/office/drawing/2014/main" id="{82D934D1-EC45-42EE-905C-16F7201BA989}"/>
            </a:ext>
          </a:extLst>
        </xdr:cNvPr>
        <xdr:cNvCxnSpPr/>
      </xdr:nvCxnSpPr>
      <xdr:spPr>
        <a:xfrm>
          <a:off x="5335827" y="5715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459027</xdr:colOff>
      <xdr:row>30</xdr:row>
      <xdr:rowOff>0</xdr:rowOff>
    </xdr:from>
    <xdr:to>
      <xdr:col>11</xdr:col>
      <xdr:colOff>344728</xdr:colOff>
      <xdr:row>31</xdr:row>
      <xdr:rowOff>63500</xdr:rowOff>
    </xdr:to>
    <xdr:sp macro="" textlink="">
      <xdr:nvSpPr>
        <xdr:cNvPr id="30304" name="Step_16d">
          <a:extLst>
            <a:ext uri="{FF2B5EF4-FFF2-40B4-BE49-F238E27FC236}">
              <a16:creationId xmlns:a16="http://schemas.microsoft.com/office/drawing/2014/main" id="{65E0973A-C3BF-4354-B297-8393352CE1E2}"/>
            </a:ext>
          </a:extLst>
        </xdr:cNvPr>
        <xdr:cNvSpPr/>
      </xdr:nvSpPr>
      <xdr:spPr>
        <a:xfrm>
          <a:off x="5335827" y="5715000"/>
          <a:ext cx="1714501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Insulate interior</a:t>
          </a:r>
        </a:p>
      </xdr:txBody>
    </xdr:sp>
    <xdr:clientData/>
  </xdr:twoCellAnchor>
  <xdr:twoCellAnchor>
    <xdr:from>
      <xdr:col>6</xdr:col>
      <xdr:colOff>362544</xdr:colOff>
      <xdr:row>32</xdr:row>
      <xdr:rowOff>0</xdr:rowOff>
    </xdr:from>
    <xdr:to>
      <xdr:col>7</xdr:col>
      <xdr:colOff>45318</xdr:colOff>
      <xdr:row>33</xdr:row>
      <xdr:rowOff>63500</xdr:rowOff>
    </xdr:to>
    <xdr:sp macro="" textlink="">
      <xdr:nvSpPr>
        <xdr:cNvPr id="30305" name="Step_17">
          <a:extLst>
            <a:ext uri="{FF2B5EF4-FFF2-40B4-BE49-F238E27FC236}">
              <a16:creationId xmlns:a16="http://schemas.microsoft.com/office/drawing/2014/main" id="{03DBDC4D-7166-45EA-AD71-4E2620EC4B53}"/>
            </a:ext>
          </a:extLst>
        </xdr:cNvPr>
        <xdr:cNvSpPr/>
      </xdr:nvSpPr>
      <xdr:spPr>
        <a:xfrm>
          <a:off x="4020144" y="6096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45318</xdr:colOff>
      <xdr:row>32</xdr:row>
      <xdr:rowOff>0</xdr:rowOff>
    </xdr:from>
    <xdr:to>
      <xdr:col>8</xdr:col>
      <xdr:colOff>20467</xdr:colOff>
      <xdr:row>33</xdr:row>
      <xdr:rowOff>63500</xdr:rowOff>
    </xdr:to>
    <xdr:sp macro="" textlink="">
      <xdr:nvSpPr>
        <xdr:cNvPr id="30306" name="Flowchart: Process 30305">
          <a:extLst>
            <a:ext uri="{FF2B5EF4-FFF2-40B4-BE49-F238E27FC236}">
              <a16:creationId xmlns:a16="http://schemas.microsoft.com/office/drawing/2014/main" id="{88FA7A9A-9FBA-4BB6-AB2D-E41AA64CB864}"/>
            </a:ext>
          </a:extLst>
        </xdr:cNvPr>
        <xdr:cNvSpPr/>
      </xdr:nvSpPr>
      <xdr:spPr>
        <a:xfrm>
          <a:off x="4312518" y="6096000"/>
          <a:ext cx="584749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20467</xdr:colOff>
      <xdr:row>32</xdr:row>
      <xdr:rowOff>0</xdr:rowOff>
    </xdr:from>
    <xdr:to>
      <xdr:col>8</xdr:col>
      <xdr:colOff>605215</xdr:colOff>
      <xdr:row>33</xdr:row>
      <xdr:rowOff>63500</xdr:rowOff>
    </xdr:to>
    <xdr:sp macro="" textlink="">
      <xdr:nvSpPr>
        <xdr:cNvPr id="30307" name="Flowchart: Process 30306">
          <a:extLst>
            <a:ext uri="{FF2B5EF4-FFF2-40B4-BE49-F238E27FC236}">
              <a16:creationId xmlns:a16="http://schemas.microsoft.com/office/drawing/2014/main" id="{F19EFE4A-A285-41A3-89D1-2742F19B8D92}"/>
            </a:ext>
          </a:extLst>
        </xdr:cNvPr>
        <xdr:cNvSpPr/>
      </xdr:nvSpPr>
      <xdr:spPr>
        <a:xfrm>
          <a:off x="4897267" y="6096000"/>
          <a:ext cx="584748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32</xdr:row>
      <xdr:rowOff>0</xdr:rowOff>
    </xdr:from>
    <xdr:to>
      <xdr:col>8</xdr:col>
      <xdr:colOff>20466</xdr:colOff>
      <xdr:row>33</xdr:row>
      <xdr:rowOff>63500</xdr:rowOff>
    </xdr:to>
    <xdr:sp macro="" textlink="">
      <xdr:nvSpPr>
        <xdr:cNvPr id="30308" name="Flowchart: Process 30307">
          <a:extLst>
            <a:ext uri="{FF2B5EF4-FFF2-40B4-BE49-F238E27FC236}">
              <a16:creationId xmlns:a16="http://schemas.microsoft.com/office/drawing/2014/main" id="{15E757D3-B29A-4D88-813F-F2B9B33A1C4B}"/>
            </a:ext>
          </a:extLst>
        </xdr:cNvPr>
        <xdr:cNvSpPr/>
      </xdr:nvSpPr>
      <xdr:spPr>
        <a:xfrm>
          <a:off x="4020144" y="6096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362544</xdr:colOff>
      <xdr:row>32</xdr:row>
      <xdr:rowOff>0</xdr:rowOff>
    </xdr:from>
    <xdr:to>
      <xdr:col>6</xdr:col>
      <xdr:colOff>362544</xdr:colOff>
      <xdr:row>33</xdr:row>
      <xdr:rowOff>63500</xdr:rowOff>
    </xdr:to>
    <xdr:cxnSp macro="">
      <xdr:nvCxnSpPr>
        <xdr:cNvPr id="30309" name="Straight Connector 30308">
          <a:extLst>
            <a:ext uri="{FF2B5EF4-FFF2-40B4-BE49-F238E27FC236}">
              <a16:creationId xmlns:a16="http://schemas.microsoft.com/office/drawing/2014/main" id="{F8A9E590-2B59-4645-9F74-7749D4B582E7}"/>
            </a:ext>
          </a:extLst>
        </xdr:cNvPr>
        <xdr:cNvCxnSpPr/>
      </xdr:nvCxnSpPr>
      <xdr:spPr>
        <a:xfrm>
          <a:off x="4020144" y="6096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362544</xdr:colOff>
      <xdr:row>32</xdr:row>
      <xdr:rowOff>0</xdr:rowOff>
    </xdr:from>
    <xdr:to>
      <xdr:col>10</xdr:col>
      <xdr:colOff>83144</xdr:colOff>
      <xdr:row>33</xdr:row>
      <xdr:rowOff>63500</xdr:rowOff>
    </xdr:to>
    <xdr:sp macro="" textlink="">
      <xdr:nvSpPr>
        <xdr:cNvPr id="30310" name="Step_17d">
          <a:extLst>
            <a:ext uri="{FF2B5EF4-FFF2-40B4-BE49-F238E27FC236}">
              <a16:creationId xmlns:a16="http://schemas.microsoft.com/office/drawing/2014/main" id="{D166BBC3-F565-4641-A051-3ED2CB1F30BC}"/>
            </a:ext>
          </a:extLst>
        </xdr:cNvPr>
        <xdr:cNvSpPr/>
      </xdr:nvSpPr>
      <xdr:spPr>
        <a:xfrm>
          <a:off x="4020144" y="6096000"/>
          <a:ext cx="2159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Frame the interior walls</a:t>
          </a:r>
        </a:p>
      </xdr:txBody>
    </xdr:sp>
    <xdr:clientData/>
  </xdr:twoCellAnchor>
  <xdr:twoCellAnchor>
    <xdr:from>
      <xdr:col>8</xdr:col>
      <xdr:colOff>605214</xdr:colOff>
      <xdr:row>34</xdr:row>
      <xdr:rowOff>0</xdr:rowOff>
    </xdr:from>
    <xdr:to>
      <xdr:col>9</xdr:col>
      <xdr:colOff>580362</xdr:colOff>
      <xdr:row>35</xdr:row>
      <xdr:rowOff>63500</xdr:rowOff>
    </xdr:to>
    <xdr:sp macro="" textlink="">
      <xdr:nvSpPr>
        <xdr:cNvPr id="30311" name="Step_18">
          <a:extLst>
            <a:ext uri="{FF2B5EF4-FFF2-40B4-BE49-F238E27FC236}">
              <a16:creationId xmlns:a16="http://schemas.microsoft.com/office/drawing/2014/main" id="{289C30B7-8426-4C5F-AF94-837E6A086509}"/>
            </a:ext>
          </a:extLst>
        </xdr:cNvPr>
        <xdr:cNvSpPr/>
      </xdr:nvSpPr>
      <xdr:spPr>
        <a:xfrm>
          <a:off x="5482014" y="6477000"/>
          <a:ext cx="584748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580362</xdr:colOff>
      <xdr:row>34</xdr:row>
      <xdr:rowOff>0</xdr:rowOff>
    </xdr:from>
    <xdr:to>
      <xdr:col>10</xdr:col>
      <xdr:colOff>263136</xdr:colOff>
      <xdr:row>35</xdr:row>
      <xdr:rowOff>63500</xdr:rowOff>
    </xdr:to>
    <xdr:sp macro="" textlink="">
      <xdr:nvSpPr>
        <xdr:cNvPr id="30312" name="Flowchart: Process 30311">
          <a:extLst>
            <a:ext uri="{FF2B5EF4-FFF2-40B4-BE49-F238E27FC236}">
              <a16:creationId xmlns:a16="http://schemas.microsoft.com/office/drawing/2014/main" id="{A4DA6E0F-B3A5-4786-B725-826DD02728B1}"/>
            </a:ext>
          </a:extLst>
        </xdr:cNvPr>
        <xdr:cNvSpPr/>
      </xdr:nvSpPr>
      <xdr:spPr>
        <a:xfrm>
          <a:off x="6066762" y="6477000"/>
          <a:ext cx="292374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263136</xdr:colOff>
      <xdr:row>34</xdr:row>
      <xdr:rowOff>0</xdr:rowOff>
    </xdr:from>
    <xdr:to>
      <xdr:col>11</xdr:col>
      <xdr:colOff>238285</xdr:colOff>
      <xdr:row>35</xdr:row>
      <xdr:rowOff>63500</xdr:rowOff>
    </xdr:to>
    <xdr:sp macro="" textlink="">
      <xdr:nvSpPr>
        <xdr:cNvPr id="30313" name="Flowchart: Process 30312">
          <a:extLst>
            <a:ext uri="{FF2B5EF4-FFF2-40B4-BE49-F238E27FC236}">
              <a16:creationId xmlns:a16="http://schemas.microsoft.com/office/drawing/2014/main" id="{C0847D39-4BA4-4B15-B84C-AC9BB82D6999}"/>
            </a:ext>
          </a:extLst>
        </xdr:cNvPr>
        <xdr:cNvSpPr/>
      </xdr:nvSpPr>
      <xdr:spPr>
        <a:xfrm>
          <a:off x="6359136" y="6477000"/>
          <a:ext cx="584749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605214</xdr:colOff>
      <xdr:row>34</xdr:row>
      <xdr:rowOff>0</xdr:rowOff>
    </xdr:from>
    <xdr:to>
      <xdr:col>10</xdr:col>
      <xdr:colOff>263137</xdr:colOff>
      <xdr:row>35</xdr:row>
      <xdr:rowOff>63500</xdr:rowOff>
    </xdr:to>
    <xdr:sp macro="" textlink="">
      <xdr:nvSpPr>
        <xdr:cNvPr id="30314" name="Flowchart: Process 30313">
          <a:extLst>
            <a:ext uri="{FF2B5EF4-FFF2-40B4-BE49-F238E27FC236}">
              <a16:creationId xmlns:a16="http://schemas.microsoft.com/office/drawing/2014/main" id="{B7ED51FD-0E68-4DAF-A762-475A77200875}"/>
            </a:ext>
          </a:extLst>
        </xdr:cNvPr>
        <xdr:cNvSpPr/>
      </xdr:nvSpPr>
      <xdr:spPr>
        <a:xfrm>
          <a:off x="5482014" y="6477000"/>
          <a:ext cx="877123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605214</xdr:colOff>
      <xdr:row>34</xdr:row>
      <xdr:rowOff>0</xdr:rowOff>
    </xdr:from>
    <xdr:to>
      <xdr:col>8</xdr:col>
      <xdr:colOff>605214</xdr:colOff>
      <xdr:row>35</xdr:row>
      <xdr:rowOff>63500</xdr:rowOff>
    </xdr:to>
    <xdr:cxnSp macro="">
      <xdr:nvCxnSpPr>
        <xdr:cNvPr id="30315" name="Straight Connector 30314">
          <a:extLst>
            <a:ext uri="{FF2B5EF4-FFF2-40B4-BE49-F238E27FC236}">
              <a16:creationId xmlns:a16="http://schemas.microsoft.com/office/drawing/2014/main" id="{71B67A1F-91D3-4634-980E-DEF1A23388B3}"/>
            </a:ext>
          </a:extLst>
        </xdr:cNvPr>
        <xdr:cNvCxnSpPr/>
      </xdr:nvCxnSpPr>
      <xdr:spPr>
        <a:xfrm>
          <a:off x="5482014" y="6477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605214</xdr:colOff>
      <xdr:row>34</xdr:row>
      <xdr:rowOff>0</xdr:rowOff>
    </xdr:from>
    <xdr:to>
      <xdr:col>14</xdr:col>
      <xdr:colOff>122614</xdr:colOff>
      <xdr:row>35</xdr:row>
      <xdr:rowOff>63500</xdr:rowOff>
    </xdr:to>
    <xdr:sp macro="" textlink="">
      <xdr:nvSpPr>
        <xdr:cNvPr id="30316" name="Step_18d">
          <a:extLst>
            <a:ext uri="{FF2B5EF4-FFF2-40B4-BE49-F238E27FC236}">
              <a16:creationId xmlns:a16="http://schemas.microsoft.com/office/drawing/2014/main" id="{1763995E-41D6-4902-9ED5-07CB0674E096}"/>
            </a:ext>
          </a:extLst>
        </xdr:cNvPr>
        <xdr:cNvSpPr/>
      </xdr:nvSpPr>
      <xdr:spPr>
        <a:xfrm>
          <a:off x="5482014" y="6477000"/>
          <a:ext cx="3175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Drywall the interior (Taped and flushed)</a:t>
          </a:r>
        </a:p>
      </xdr:txBody>
    </xdr:sp>
    <xdr:clientData/>
  </xdr:twoCellAnchor>
  <xdr:twoCellAnchor>
    <xdr:from>
      <xdr:col>9</xdr:col>
      <xdr:colOff>580363</xdr:colOff>
      <xdr:row>36</xdr:row>
      <xdr:rowOff>0</xdr:rowOff>
    </xdr:from>
    <xdr:to>
      <xdr:col>10</xdr:col>
      <xdr:colOff>263137</xdr:colOff>
      <xdr:row>37</xdr:row>
      <xdr:rowOff>63500</xdr:rowOff>
    </xdr:to>
    <xdr:sp macro="" textlink="">
      <xdr:nvSpPr>
        <xdr:cNvPr id="30317" name="Step_19">
          <a:extLst>
            <a:ext uri="{FF2B5EF4-FFF2-40B4-BE49-F238E27FC236}">
              <a16:creationId xmlns:a16="http://schemas.microsoft.com/office/drawing/2014/main" id="{94170283-A164-4344-AA8D-F5EC01DDB32C}"/>
            </a:ext>
          </a:extLst>
        </xdr:cNvPr>
        <xdr:cNvSpPr/>
      </xdr:nvSpPr>
      <xdr:spPr>
        <a:xfrm>
          <a:off x="6066763" y="6858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263137</xdr:colOff>
      <xdr:row>36</xdr:row>
      <xdr:rowOff>0</xdr:rowOff>
    </xdr:from>
    <xdr:to>
      <xdr:col>11</xdr:col>
      <xdr:colOff>238285</xdr:colOff>
      <xdr:row>37</xdr:row>
      <xdr:rowOff>63500</xdr:rowOff>
    </xdr:to>
    <xdr:sp macro="" textlink="">
      <xdr:nvSpPr>
        <xdr:cNvPr id="30318" name="Flowchart: Process 30317">
          <a:extLst>
            <a:ext uri="{FF2B5EF4-FFF2-40B4-BE49-F238E27FC236}">
              <a16:creationId xmlns:a16="http://schemas.microsoft.com/office/drawing/2014/main" id="{933E4EEA-8156-4DB0-82CA-6A9919C81146}"/>
            </a:ext>
          </a:extLst>
        </xdr:cNvPr>
        <xdr:cNvSpPr/>
      </xdr:nvSpPr>
      <xdr:spPr>
        <a:xfrm>
          <a:off x="6359137" y="6858000"/>
          <a:ext cx="584748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36</xdr:row>
      <xdr:rowOff>0</xdr:rowOff>
    </xdr:from>
    <xdr:to>
      <xdr:col>12</xdr:col>
      <xdr:colOff>67246</xdr:colOff>
      <xdr:row>37</xdr:row>
      <xdr:rowOff>63500</xdr:rowOff>
    </xdr:to>
    <xdr:sp macro="" textlink="">
      <xdr:nvSpPr>
        <xdr:cNvPr id="30319" name="Flowchart: Process 30318">
          <a:extLst>
            <a:ext uri="{FF2B5EF4-FFF2-40B4-BE49-F238E27FC236}">
              <a16:creationId xmlns:a16="http://schemas.microsoft.com/office/drawing/2014/main" id="{10852350-BE81-4274-B1F9-C648748B95D7}"/>
            </a:ext>
          </a:extLst>
        </xdr:cNvPr>
        <xdr:cNvSpPr/>
      </xdr:nvSpPr>
      <xdr:spPr>
        <a:xfrm>
          <a:off x="6943885" y="6858000"/>
          <a:ext cx="438561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580363</xdr:colOff>
      <xdr:row>36</xdr:row>
      <xdr:rowOff>0</xdr:rowOff>
    </xdr:from>
    <xdr:to>
      <xdr:col>11</xdr:col>
      <xdr:colOff>238285</xdr:colOff>
      <xdr:row>37</xdr:row>
      <xdr:rowOff>63500</xdr:rowOff>
    </xdr:to>
    <xdr:sp macro="" textlink="">
      <xdr:nvSpPr>
        <xdr:cNvPr id="30320" name="Flowchart: Process 30319">
          <a:extLst>
            <a:ext uri="{FF2B5EF4-FFF2-40B4-BE49-F238E27FC236}">
              <a16:creationId xmlns:a16="http://schemas.microsoft.com/office/drawing/2014/main" id="{C33B39E1-0C6E-41FD-906A-52EF3D0F12CF}"/>
            </a:ext>
          </a:extLst>
        </xdr:cNvPr>
        <xdr:cNvSpPr/>
      </xdr:nvSpPr>
      <xdr:spPr>
        <a:xfrm>
          <a:off x="6066763" y="6858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580363</xdr:colOff>
      <xdr:row>36</xdr:row>
      <xdr:rowOff>0</xdr:rowOff>
    </xdr:from>
    <xdr:to>
      <xdr:col>9</xdr:col>
      <xdr:colOff>580363</xdr:colOff>
      <xdr:row>37</xdr:row>
      <xdr:rowOff>63500</xdr:rowOff>
    </xdr:to>
    <xdr:cxnSp macro="">
      <xdr:nvCxnSpPr>
        <xdr:cNvPr id="30321" name="Straight Connector 30320">
          <a:extLst>
            <a:ext uri="{FF2B5EF4-FFF2-40B4-BE49-F238E27FC236}">
              <a16:creationId xmlns:a16="http://schemas.microsoft.com/office/drawing/2014/main" id="{DB954D6C-FB72-4F77-A4DB-363386324F96}"/>
            </a:ext>
          </a:extLst>
        </xdr:cNvPr>
        <xdr:cNvCxnSpPr/>
      </xdr:nvCxnSpPr>
      <xdr:spPr>
        <a:xfrm>
          <a:off x="6066763" y="6858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580363</xdr:colOff>
      <xdr:row>36</xdr:row>
      <xdr:rowOff>0</xdr:rowOff>
    </xdr:from>
    <xdr:to>
      <xdr:col>13</xdr:col>
      <xdr:colOff>364463</xdr:colOff>
      <xdr:row>37</xdr:row>
      <xdr:rowOff>63500</xdr:rowOff>
    </xdr:to>
    <xdr:sp macro="" textlink="">
      <xdr:nvSpPr>
        <xdr:cNvPr id="30322" name="Step_19d">
          <a:extLst>
            <a:ext uri="{FF2B5EF4-FFF2-40B4-BE49-F238E27FC236}">
              <a16:creationId xmlns:a16="http://schemas.microsoft.com/office/drawing/2014/main" id="{F70D6A77-80DD-4AA5-A871-9D47A257C987}"/>
            </a:ext>
          </a:extLst>
        </xdr:cNvPr>
        <xdr:cNvSpPr/>
      </xdr:nvSpPr>
      <xdr:spPr>
        <a:xfrm>
          <a:off x="6066763" y="6858000"/>
          <a:ext cx="2222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Texture walls and ceiling</a:t>
          </a:r>
        </a:p>
      </xdr:txBody>
    </xdr:sp>
    <xdr:clientData/>
  </xdr:twoCellAnchor>
  <xdr:twoCellAnchor>
    <xdr:from>
      <xdr:col>10</xdr:col>
      <xdr:colOff>263137</xdr:colOff>
      <xdr:row>38</xdr:row>
      <xdr:rowOff>0</xdr:rowOff>
    </xdr:from>
    <xdr:to>
      <xdr:col>10</xdr:col>
      <xdr:colOff>555511</xdr:colOff>
      <xdr:row>39</xdr:row>
      <xdr:rowOff>63500</xdr:rowOff>
    </xdr:to>
    <xdr:sp macro="" textlink="">
      <xdr:nvSpPr>
        <xdr:cNvPr id="30323" name="Step_20">
          <a:extLst>
            <a:ext uri="{FF2B5EF4-FFF2-40B4-BE49-F238E27FC236}">
              <a16:creationId xmlns:a16="http://schemas.microsoft.com/office/drawing/2014/main" id="{263B8466-029D-4311-BC6E-645C394EA68F}"/>
            </a:ext>
          </a:extLst>
        </xdr:cNvPr>
        <xdr:cNvSpPr/>
      </xdr:nvSpPr>
      <xdr:spPr>
        <a:xfrm>
          <a:off x="6359137" y="7239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38</xdr:row>
      <xdr:rowOff>0</xdr:rowOff>
    </xdr:from>
    <xdr:to>
      <xdr:col>11</xdr:col>
      <xdr:colOff>530659</xdr:colOff>
      <xdr:row>39</xdr:row>
      <xdr:rowOff>63500</xdr:rowOff>
    </xdr:to>
    <xdr:sp macro="" textlink="">
      <xdr:nvSpPr>
        <xdr:cNvPr id="30324" name="Flowchart: Process 30323">
          <a:extLst>
            <a:ext uri="{FF2B5EF4-FFF2-40B4-BE49-F238E27FC236}">
              <a16:creationId xmlns:a16="http://schemas.microsoft.com/office/drawing/2014/main" id="{54605323-2CE4-4974-9634-EF590E2E9BD4}"/>
            </a:ext>
          </a:extLst>
        </xdr:cNvPr>
        <xdr:cNvSpPr/>
      </xdr:nvSpPr>
      <xdr:spPr>
        <a:xfrm>
          <a:off x="6651511" y="7239000"/>
          <a:ext cx="584748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530659</xdr:colOff>
      <xdr:row>38</xdr:row>
      <xdr:rowOff>0</xdr:rowOff>
    </xdr:from>
    <xdr:to>
      <xdr:col>12</xdr:col>
      <xdr:colOff>505808</xdr:colOff>
      <xdr:row>39</xdr:row>
      <xdr:rowOff>63500</xdr:rowOff>
    </xdr:to>
    <xdr:sp macro="" textlink="">
      <xdr:nvSpPr>
        <xdr:cNvPr id="30325" name="Flowchart: Process 30324">
          <a:extLst>
            <a:ext uri="{FF2B5EF4-FFF2-40B4-BE49-F238E27FC236}">
              <a16:creationId xmlns:a16="http://schemas.microsoft.com/office/drawing/2014/main" id="{86B4A624-BE81-4A3E-B359-6014CE868AE7}"/>
            </a:ext>
          </a:extLst>
        </xdr:cNvPr>
        <xdr:cNvSpPr/>
      </xdr:nvSpPr>
      <xdr:spPr>
        <a:xfrm>
          <a:off x="7236259" y="7239000"/>
          <a:ext cx="584749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263137</xdr:colOff>
      <xdr:row>38</xdr:row>
      <xdr:rowOff>0</xdr:rowOff>
    </xdr:from>
    <xdr:to>
      <xdr:col>11</xdr:col>
      <xdr:colOff>530659</xdr:colOff>
      <xdr:row>39</xdr:row>
      <xdr:rowOff>63500</xdr:rowOff>
    </xdr:to>
    <xdr:sp macro="" textlink="">
      <xdr:nvSpPr>
        <xdr:cNvPr id="30326" name="Flowchart: Process 30325">
          <a:extLst>
            <a:ext uri="{FF2B5EF4-FFF2-40B4-BE49-F238E27FC236}">
              <a16:creationId xmlns:a16="http://schemas.microsoft.com/office/drawing/2014/main" id="{D7F44518-06EC-4EC5-96F6-3BF49164A5F0}"/>
            </a:ext>
          </a:extLst>
        </xdr:cNvPr>
        <xdr:cNvSpPr/>
      </xdr:nvSpPr>
      <xdr:spPr>
        <a:xfrm>
          <a:off x="6359137" y="7239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263137</xdr:colOff>
      <xdr:row>38</xdr:row>
      <xdr:rowOff>0</xdr:rowOff>
    </xdr:from>
    <xdr:to>
      <xdr:col>10</xdr:col>
      <xdr:colOff>263137</xdr:colOff>
      <xdr:row>39</xdr:row>
      <xdr:rowOff>63500</xdr:rowOff>
    </xdr:to>
    <xdr:cxnSp macro="">
      <xdr:nvCxnSpPr>
        <xdr:cNvPr id="30327" name="Straight Connector 30326">
          <a:extLst>
            <a:ext uri="{FF2B5EF4-FFF2-40B4-BE49-F238E27FC236}">
              <a16:creationId xmlns:a16="http://schemas.microsoft.com/office/drawing/2014/main" id="{79A42591-E23F-4D67-B0C5-7C2E5FA7C038}"/>
            </a:ext>
          </a:extLst>
        </xdr:cNvPr>
        <xdr:cNvCxnSpPr/>
      </xdr:nvCxnSpPr>
      <xdr:spPr>
        <a:xfrm>
          <a:off x="6359137" y="7239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263137</xdr:colOff>
      <xdr:row>38</xdr:row>
      <xdr:rowOff>0</xdr:rowOff>
    </xdr:from>
    <xdr:to>
      <xdr:col>13</xdr:col>
      <xdr:colOff>85337</xdr:colOff>
      <xdr:row>39</xdr:row>
      <xdr:rowOff>63500</xdr:rowOff>
    </xdr:to>
    <xdr:sp macro="" textlink="">
      <xdr:nvSpPr>
        <xdr:cNvPr id="30328" name="Step_20d">
          <a:extLst>
            <a:ext uri="{FF2B5EF4-FFF2-40B4-BE49-F238E27FC236}">
              <a16:creationId xmlns:a16="http://schemas.microsoft.com/office/drawing/2014/main" id="{72953646-7B3A-4ACD-A497-CB8CD9AA92A2}"/>
            </a:ext>
          </a:extLst>
        </xdr:cNvPr>
        <xdr:cNvSpPr/>
      </xdr:nvSpPr>
      <xdr:spPr>
        <a:xfrm>
          <a:off x="6359137" y="7239000"/>
          <a:ext cx="1651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flooring</a:t>
          </a:r>
        </a:p>
      </xdr:txBody>
    </xdr:sp>
    <xdr:clientData/>
  </xdr:twoCellAnchor>
  <xdr:twoCellAnchor>
    <xdr:from>
      <xdr:col>10</xdr:col>
      <xdr:colOff>555511</xdr:colOff>
      <xdr:row>40</xdr:row>
      <xdr:rowOff>0</xdr:rowOff>
    </xdr:from>
    <xdr:to>
      <xdr:col>11</xdr:col>
      <xdr:colOff>238285</xdr:colOff>
      <xdr:row>41</xdr:row>
      <xdr:rowOff>63500</xdr:rowOff>
    </xdr:to>
    <xdr:sp macro="" textlink="">
      <xdr:nvSpPr>
        <xdr:cNvPr id="30329" name="Step_21">
          <a:extLst>
            <a:ext uri="{FF2B5EF4-FFF2-40B4-BE49-F238E27FC236}">
              <a16:creationId xmlns:a16="http://schemas.microsoft.com/office/drawing/2014/main" id="{8F951559-8F8F-4BE0-9943-8ACF57CD7A3E}"/>
            </a:ext>
          </a:extLst>
        </xdr:cNvPr>
        <xdr:cNvSpPr/>
      </xdr:nvSpPr>
      <xdr:spPr>
        <a:xfrm>
          <a:off x="6651511" y="7620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40</xdr:row>
      <xdr:rowOff>0</xdr:rowOff>
    </xdr:from>
    <xdr:to>
      <xdr:col>12</xdr:col>
      <xdr:colOff>213433</xdr:colOff>
      <xdr:row>41</xdr:row>
      <xdr:rowOff>63500</xdr:rowOff>
    </xdr:to>
    <xdr:sp macro="" textlink="">
      <xdr:nvSpPr>
        <xdr:cNvPr id="30330" name="Flowchart: Process 30329">
          <a:extLst>
            <a:ext uri="{FF2B5EF4-FFF2-40B4-BE49-F238E27FC236}">
              <a16:creationId xmlns:a16="http://schemas.microsoft.com/office/drawing/2014/main" id="{8BDC4118-0864-44F8-8F17-937CCB632B74}"/>
            </a:ext>
          </a:extLst>
        </xdr:cNvPr>
        <xdr:cNvSpPr/>
      </xdr:nvSpPr>
      <xdr:spPr>
        <a:xfrm>
          <a:off x="6943885" y="7620000"/>
          <a:ext cx="584748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213433</xdr:colOff>
      <xdr:row>40</xdr:row>
      <xdr:rowOff>0</xdr:rowOff>
    </xdr:from>
    <xdr:to>
      <xdr:col>13</xdr:col>
      <xdr:colOff>42394</xdr:colOff>
      <xdr:row>41</xdr:row>
      <xdr:rowOff>63500</xdr:rowOff>
    </xdr:to>
    <xdr:sp macro="" textlink="">
      <xdr:nvSpPr>
        <xdr:cNvPr id="30331" name="Flowchart: Process 30330">
          <a:extLst>
            <a:ext uri="{FF2B5EF4-FFF2-40B4-BE49-F238E27FC236}">
              <a16:creationId xmlns:a16="http://schemas.microsoft.com/office/drawing/2014/main" id="{3EFE58E4-AB22-4E22-AEED-661D23103F6F}"/>
            </a:ext>
          </a:extLst>
        </xdr:cNvPr>
        <xdr:cNvSpPr/>
      </xdr:nvSpPr>
      <xdr:spPr>
        <a:xfrm>
          <a:off x="7528633" y="7620000"/>
          <a:ext cx="438561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40</xdr:row>
      <xdr:rowOff>0</xdr:rowOff>
    </xdr:from>
    <xdr:to>
      <xdr:col>12</xdr:col>
      <xdr:colOff>213433</xdr:colOff>
      <xdr:row>41</xdr:row>
      <xdr:rowOff>63500</xdr:rowOff>
    </xdr:to>
    <xdr:sp macro="" textlink="">
      <xdr:nvSpPr>
        <xdr:cNvPr id="30332" name="Flowchart: Process 30331">
          <a:extLst>
            <a:ext uri="{FF2B5EF4-FFF2-40B4-BE49-F238E27FC236}">
              <a16:creationId xmlns:a16="http://schemas.microsoft.com/office/drawing/2014/main" id="{060A6455-B797-4254-A74C-75F2C8FEBD75}"/>
            </a:ext>
          </a:extLst>
        </xdr:cNvPr>
        <xdr:cNvSpPr/>
      </xdr:nvSpPr>
      <xdr:spPr>
        <a:xfrm>
          <a:off x="6651511" y="7620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40</xdr:row>
      <xdr:rowOff>0</xdr:rowOff>
    </xdr:from>
    <xdr:to>
      <xdr:col>10</xdr:col>
      <xdr:colOff>555511</xdr:colOff>
      <xdr:row>41</xdr:row>
      <xdr:rowOff>63500</xdr:rowOff>
    </xdr:to>
    <xdr:cxnSp macro="">
      <xdr:nvCxnSpPr>
        <xdr:cNvPr id="30333" name="Straight Connector 30332">
          <a:extLst>
            <a:ext uri="{FF2B5EF4-FFF2-40B4-BE49-F238E27FC236}">
              <a16:creationId xmlns:a16="http://schemas.microsoft.com/office/drawing/2014/main" id="{83B763A3-3ECD-4896-85CC-4865C1247AFF}"/>
            </a:ext>
          </a:extLst>
        </xdr:cNvPr>
        <xdr:cNvCxnSpPr/>
      </xdr:nvCxnSpPr>
      <xdr:spPr>
        <a:xfrm>
          <a:off x="6651511" y="7620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555511</xdr:colOff>
      <xdr:row>40</xdr:row>
      <xdr:rowOff>0</xdr:rowOff>
    </xdr:from>
    <xdr:to>
      <xdr:col>13</xdr:col>
      <xdr:colOff>123711</xdr:colOff>
      <xdr:row>41</xdr:row>
      <xdr:rowOff>63500</xdr:rowOff>
    </xdr:to>
    <xdr:sp macro="" textlink="">
      <xdr:nvSpPr>
        <xdr:cNvPr id="30334" name="Step_21d">
          <a:extLst>
            <a:ext uri="{FF2B5EF4-FFF2-40B4-BE49-F238E27FC236}">
              <a16:creationId xmlns:a16="http://schemas.microsoft.com/office/drawing/2014/main" id="{84B71743-64FD-44CE-AF9F-28EF9F82092E}"/>
            </a:ext>
          </a:extLst>
        </xdr:cNvPr>
        <xdr:cNvSpPr/>
      </xdr:nvSpPr>
      <xdr:spPr>
        <a:xfrm>
          <a:off x="6651511" y="7620000"/>
          <a:ext cx="1397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trim</a:t>
          </a:r>
        </a:p>
      </xdr:txBody>
    </xdr:sp>
    <xdr:clientData/>
  </xdr:twoCellAnchor>
  <xdr:twoCellAnchor>
    <xdr:from>
      <xdr:col>10</xdr:col>
      <xdr:colOff>263137</xdr:colOff>
      <xdr:row>42</xdr:row>
      <xdr:rowOff>0</xdr:rowOff>
    </xdr:from>
    <xdr:to>
      <xdr:col>10</xdr:col>
      <xdr:colOff>555511</xdr:colOff>
      <xdr:row>43</xdr:row>
      <xdr:rowOff>63500</xdr:rowOff>
    </xdr:to>
    <xdr:sp macro="" textlink="">
      <xdr:nvSpPr>
        <xdr:cNvPr id="30335" name="Step_22">
          <a:extLst>
            <a:ext uri="{FF2B5EF4-FFF2-40B4-BE49-F238E27FC236}">
              <a16:creationId xmlns:a16="http://schemas.microsoft.com/office/drawing/2014/main" id="{B0913421-B4E9-45AE-9500-B2A92F745139}"/>
            </a:ext>
          </a:extLst>
        </xdr:cNvPr>
        <xdr:cNvSpPr/>
      </xdr:nvSpPr>
      <xdr:spPr>
        <a:xfrm>
          <a:off x="6359137" y="8001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42</xdr:row>
      <xdr:rowOff>0</xdr:rowOff>
    </xdr:from>
    <xdr:to>
      <xdr:col>11</xdr:col>
      <xdr:colOff>238285</xdr:colOff>
      <xdr:row>43</xdr:row>
      <xdr:rowOff>63500</xdr:rowOff>
    </xdr:to>
    <xdr:sp macro="" textlink="">
      <xdr:nvSpPr>
        <xdr:cNvPr id="30336" name="Flowchart: Process 30335">
          <a:extLst>
            <a:ext uri="{FF2B5EF4-FFF2-40B4-BE49-F238E27FC236}">
              <a16:creationId xmlns:a16="http://schemas.microsoft.com/office/drawing/2014/main" id="{B22BF3C2-B46E-45D4-A680-5BA46F7B4015}"/>
            </a:ext>
          </a:extLst>
        </xdr:cNvPr>
        <xdr:cNvSpPr/>
      </xdr:nvSpPr>
      <xdr:spPr>
        <a:xfrm>
          <a:off x="6651511" y="8001000"/>
          <a:ext cx="292374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42</xdr:row>
      <xdr:rowOff>0</xdr:rowOff>
    </xdr:from>
    <xdr:to>
      <xdr:col>11</xdr:col>
      <xdr:colOff>530659</xdr:colOff>
      <xdr:row>43</xdr:row>
      <xdr:rowOff>63500</xdr:rowOff>
    </xdr:to>
    <xdr:sp macro="" textlink="">
      <xdr:nvSpPr>
        <xdr:cNvPr id="30337" name="Flowchart: Process 30336">
          <a:extLst>
            <a:ext uri="{FF2B5EF4-FFF2-40B4-BE49-F238E27FC236}">
              <a16:creationId xmlns:a16="http://schemas.microsoft.com/office/drawing/2014/main" id="{18B6622F-93AD-4081-AF71-65CBB8FC3787}"/>
            </a:ext>
          </a:extLst>
        </xdr:cNvPr>
        <xdr:cNvSpPr/>
      </xdr:nvSpPr>
      <xdr:spPr>
        <a:xfrm>
          <a:off x="6943885" y="8001000"/>
          <a:ext cx="292374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263137</xdr:colOff>
      <xdr:row>42</xdr:row>
      <xdr:rowOff>0</xdr:rowOff>
    </xdr:from>
    <xdr:to>
      <xdr:col>11</xdr:col>
      <xdr:colOff>238285</xdr:colOff>
      <xdr:row>43</xdr:row>
      <xdr:rowOff>63500</xdr:rowOff>
    </xdr:to>
    <xdr:sp macro="" textlink="">
      <xdr:nvSpPr>
        <xdr:cNvPr id="30338" name="Flowchart: Process 30337">
          <a:extLst>
            <a:ext uri="{FF2B5EF4-FFF2-40B4-BE49-F238E27FC236}">
              <a16:creationId xmlns:a16="http://schemas.microsoft.com/office/drawing/2014/main" id="{88130AE7-42B0-4E47-897D-C66D040D5F75}"/>
            </a:ext>
          </a:extLst>
        </xdr:cNvPr>
        <xdr:cNvSpPr/>
      </xdr:nvSpPr>
      <xdr:spPr>
        <a:xfrm>
          <a:off x="6359137" y="8001000"/>
          <a:ext cx="584748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263137</xdr:colOff>
      <xdr:row>42</xdr:row>
      <xdr:rowOff>0</xdr:rowOff>
    </xdr:from>
    <xdr:to>
      <xdr:col>10</xdr:col>
      <xdr:colOff>263137</xdr:colOff>
      <xdr:row>43</xdr:row>
      <xdr:rowOff>63500</xdr:rowOff>
    </xdr:to>
    <xdr:cxnSp macro="">
      <xdr:nvCxnSpPr>
        <xdr:cNvPr id="30339" name="Straight Connector 30338">
          <a:extLst>
            <a:ext uri="{FF2B5EF4-FFF2-40B4-BE49-F238E27FC236}">
              <a16:creationId xmlns:a16="http://schemas.microsoft.com/office/drawing/2014/main" id="{0F4F2D8A-6972-4B3B-AD53-DB9F1678E659}"/>
            </a:ext>
          </a:extLst>
        </xdr:cNvPr>
        <xdr:cNvCxnSpPr/>
      </xdr:nvCxnSpPr>
      <xdr:spPr>
        <a:xfrm>
          <a:off x="6359137" y="8001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263137</xdr:colOff>
      <xdr:row>42</xdr:row>
      <xdr:rowOff>0</xdr:rowOff>
    </xdr:from>
    <xdr:to>
      <xdr:col>13</xdr:col>
      <xdr:colOff>339337</xdr:colOff>
      <xdr:row>43</xdr:row>
      <xdr:rowOff>63500</xdr:rowOff>
    </xdr:to>
    <xdr:sp macro="" textlink="">
      <xdr:nvSpPr>
        <xdr:cNvPr id="30340" name="Step_22d">
          <a:extLst>
            <a:ext uri="{FF2B5EF4-FFF2-40B4-BE49-F238E27FC236}">
              <a16:creationId xmlns:a16="http://schemas.microsoft.com/office/drawing/2014/main" id="{9753FC7F-5D64-482F-9215-2411605018B8}"/>
            </a:ext>
          </a:extLst>
        </xdr:cNvPr>
        <xdr:cNvSpPr/>
      </xdr:nvSpPr>
      <xdr:spPr>
        <a:xfrm>
          <a:off x="6359137" y="8001000"/>
          <a:ext cx="19050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Paint interior walls</a:t>
          </a:r>
        </a:p>
      </xdr:txBody>
    </xdr:sp>
    <xdr:clientData/>
  </xdr:twoCellAnchor>
  <xdr:twoCellAnchor>
    <xdr:from>
      <xdr:col>10</xdr:col>
      <xdr:colOff>555511</xdr:colOff>
      <xdr:row>44</xdr:row>
      <xdr:rowOff>0</xdr:rowOff>
    </xdr:from>
    <xdr:to>
      <xdr:col>11</xdr:col>
      <xdr:colOff>238285</xdr:colOff>
      <xdr:row>45</xdr:row>
      <xdr:rowOff>63500</xdr:rowOff>
    </xdr:to>
    <xdr:sp macro="" textlink="">
      <xdr:nvSpPr>
        <xdr:cNvPr id="30341" name="Step_23">
          <a:extLst>
            <a:ext uri="{FF2B5EF4-FFF2-40B4-BE49-F238E27FC236}">
              <a16:creationId xmlns:a16="http://schemas.microsoft.com/office/drawing/2014/main" id="{D4C77794-01D8-4E31-87C8-1DE34300179F}"/>
            </a:ext>
          </a:extLst>
        </xdr:cNvPr>
        <xdr:cNvSpPr/>
      </xdr:nvSpPr>
      <xdr:spPr>
        <a:xfrm>
          <a:off x="6651511" y="8382000"/>
          <a:ext cx="292374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44</xdr:row>
      <xdr:rowOff>0</xdr:rowOff>
    </xdr:from>
    <xdr:to>
      <xdr:col>12</xdr:col>
      <xdr:colOff>213433</xdr:colOff>
      <xdr:row>45</xdr:row>
      <xdr:rowOff>63500</xdr:rowOff>
    </xdr:to>
    <xdr:sp macro="" textlink="">
      <xdr:nvSpPr>
        <xdr:cNvPr id="30342" name="Flowchart: Process 30341">
          <a:extLst>
            <a:ext uri="{FF2B5EF4-FFF2-40B4-BE49-F238E27FC236}">
              <a16:creationId xmlns:a16="http://schemas.microsoft.com/office/drawing/2014/main" id="{C822910A-DF61-41D5-86C8-302BC1B51DEB}"/>
            </a:ext>
          </a:extLst>
        </xdr:cNvPr>
        <xdr:cNvSpPr/>
      </xdr:nvSpPr>
      <xdr:spPr>
        <a:xfrm>
          <a:off x="6943885" y="8382000"/>
          <a:ext cx="584748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213433</xdr:colOff>
      <xdr:row>44</xdr:row>
      <xdr:rowOff>0</xdr:rowOff>
    </xdr:from>
    <xdr:to>
      <xdr:col>13</xdr:col>
      <xdr:colOff>42394</xdr:colOff>
      <xdr:row>45</xdr:row>
      <xdr:rowOff>63500</xdr:rowOff>
    </xdr:to>
    <xdr:sp macro="" textlink="">
      <xdr:nvSpPr>
        <xdr:cNvPr id="30343" name="Flowchart: Process 30342">
          <a:extLst>
            <a:ext uri="{FF2B5EF4-FFF2-40B4-BE49-F238E27FC236}">
              <a16:creationId xmlns:a16="http://schemas.microsoft.com/office/drawing/2014/main" id="{13693889-8EA3-401C-895D-0C01363006B5}"/>
            </a:ext>
          </a:extLst>
        </xdr:cNvPr>
        <xdr:cNvSpPr/>
      </xdr:nvSpPr>
      <xdr:spPr>
        <a:xfrm>
          <a:off x="7528633" y="8382000"/>
          <a:ext cx="438561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44</xdr:row>
      <xdr:rowOff>0</xdr:rowOff>
    </xdr:from>
    <xdr:to>
      <xdr:col>12</xdr:col>
      <xdr:colOff>213433</xdr:colOff>
      <xdr:row>45</xdr:row>
      <xdr:rowOff>63500</xdr:rowOff>
    </xdr:to>
    <xdr:sp macro="" textlink="">
      <xdr:nvSpPr>
        <xdr:cNvPr id="30344" name="Flowchart: Process 30343">
          <a:extLst>
            <a:ext uri="{FF2B5EF4-FFF2-40B4-BE49-F238E27FC236}">
              <a16:creationId xmlns:a16="http://schemas.microsoft.com/office/drawing/2014/main" id="{62527424-A768-4D62-8C4E-C271EBF1553D}"/>
            </a:ext>
          </a:extLst>
        </xdr:cNvPr>
        <xdr:cNvSpPr/>
      </xdr:nvSpPr>
      <xdr:spPr>
        <a:xfrm>
          <a:off x="6651511" y="8382000"/>
          <a:ext cx="877122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44</xdr:row>
      <xdr:rowOff>0</xdr:rowOff>
    </xdr:from>
    <xdr:to>
      <xdr:col>10</xdr:col>
      <xdr:colOff>555511</xdr:colOff>
      <xdr:row>45</xdr:row>
      <xdr:rowOff>63500</xdr:rowOff>
    </xdr:to>
    <xdr:cxnSp macro="">
      <xdr:nvCxnSpPr>
        <xdr:cNvPr id="30345" name="Straight Connector 30344">
          <a:extLst>
            <a:ext uri="{FF2B5EF4-FFF2-40B4-BE49-F238E27FC236}">
              <a16:creationId xmlns:a16="http://schemas.microsoft.com/office/drawing/2014/main" id="{2C98525D-AA0E-4A38-9608-EAF2C764CE82}"/>
            </a:ext>
          </a:extLst>
        </xdr:cNvPr>
        <xdr:cNvCxnSpPr/>
      </xdr:nvCxnSpPr>
      <xdr:spPr>
        <a:xfrm>
          <a:off x="6651511" y="8382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555511</xdr:colOff>
      <xdr:row>44</xdr:row>
      <xdr:rowOff>0</xdr:rowOff>
    </xdr:from>
    <xdr:to>
      <xdr:col>16</xdr:col>
      <xdr:colOff>517411</xdr:colOff>
      <xdr:row>45</xdr:row>
      <xdr:rowOff>63500</xdr:rowOff>
    </xdr:to>
    <xdr:sp macro="" textlink="">
      <xdr:nvSpPr>
        <xdr:cNvPr id="30346" name="Step_23d">
          <a:extLst>
            <a:ext uri="{FF2B5EF4-FFF2-40B4-BE49-F238E27FC236}">
              <a16:creationId xmlns:a16="http://schemas.microsoft.com/office/drawing/2014/main" id="{DB9E1B7F-FB6D-42E3-9B96-7FA84BB8EB12}"/>
            </a:ext>
          </a:extLst>
        </xdr:cNvPr>
        <xdr:cNvSpPr/>
      </xdr:nvSpPr>
      <xdr:spPr>
        <a:xfrm>
          <a:off x="6651511" y="8382000"/>
          <a:ext cx="3619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accessories (cabinets, doorknobs, etc…)</a:t>
          </a:r>
        </a:p>
      </xdr:txBody>
    </xdr:sp>
    <xdr:clientData/>
  </xdr:twoCellAnchor>
  <xdr:twoCellAnchor>
    <xdr:from>
      <xdr:col>10</xdr:col>
      <xdr:colOff>555511</xdr:colOff>
      <xdr:row>46</xdr:row>
      <xdr:rowOff>0</xdr:rowOff>
    </xdr:from>
    <xdr:to>
      <xdr:col>11</xdr:col>
      <xdr:colOff>92098</xdr:colOff>
      <xdr:row>47</xdr:row>
      <xdr:rowOff>63500</xdr:rowOff>
    </xdr:to>
    <xdr:sp macro="" textlink="">
      <xdr:nvSpPr>
        <xdr:cNvPr id="30347" name="Step_24">
          <a:extLst>
            <a:ext uri="{FF2B5EF4-FFF2-40B4-BE49-F238E27FC236}">
              <a16:creationId xmlns:a16="http://schemas.microsoft.com/office/drawing/2014/main" id="{E8814BD5-6BE8-4523-A80B-25067B862FAE}"/>
            </a:ext>
          </a:extLst>
        </xdr:cNvPr>
        <xdr:cNvSpPr/>
      </xdr:nvSpPr>
      <xdr:spPr>
        <a:xfrm>
          <a:off x="6651511" y="8763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92098</xdr:colOff>
      <xdr:row>46</xdr:row>
      <xdr:rowOff>0</xdr:rowOff>
    </xdr:from>
    <xdr:to>
      <xdr:col>11</xdr:col>
      <xdr:colOff>238285</xdr:colOff>
      <xdr:row>47</xdr:row>
      <xdr:rowOff>63500</xdr:rowOff>
    </xdr:to>
    <xdr:sp macro="" textlink="">
      <xdr:nvSpPr>
        <xdr:cNvPr id="30348" name="Flowchart: Process 30347">
          <a:extLst>
            <a:ext uri="{FF2B5EF4-FFF2-40B4-BE49-F238E27FC236}">
              <a16:creationId xmlns:a16="http://schemas.microsoft.com/office/drawing/2014/main" id="{34368DB4-B867-4E20-83DF-7C6E9F93D6CE}"/>
            </a:ext>
          </a:extLst>
        </xdr:cNvPr>
        <xdr:cNvSpPr/>
      </xdr:nvSpPr>
      <xdr:spPr>
        <a:xfrm>
          <a:off x="6797698" y="8763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46</xdr:row>
      <xdr:rowOff>0</xdr:rowOff>
    </xdr:from>
    <xdr:to>
      <xdr:col>11</xdr:col>
      <xdr:colOff>530660</xdr:colOff>
      <xdr:row>47</xdr:row>
      <xdr:rowOff>63500</xdr:rowOff>
    </xdr:to>
    <xdr:sp macro="" textlink="">
      <xdr:nvSpPr>
        <xdr:cNvPr id="30349" name="Flowchart: Process 30348">
          <a:extLst>
            <a:ext uri="{FF2B5EF4-FFF2-40B4-BE49-F238E27FC236}">
              <a16:creationId xmlns:a16="http://schemas.microsoft.com/office/drawing/2014/main" id="{BB4D5A3A-4F0B-4A15-9283-6EA444B23C3F}"/>
            </a:ext>
          </a:extLst>
        </xdr:cNvPr>
        <xdr:cNvSpPr/>
      </xdr:nvSpPr>
      <xdr:spPr>
        <a:xfrm>
          <a:off x="6943885" y="8763000"/>
          <a:ext cx="292375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46</xdr:row>
      <xdr:rowOff>0</xdr:rowOff>
    </xdr:from>
    <xdr:to>
      <xdr:col>11</xdr:col>
      <xdr:colOff>238285</xdr:colOff>
      <xdr:row>47</xdr:row>
      <xdr:rowOff>63500</xdr:rowOff>
    </xdr:to>
    <xdr:sp macro="" textlink="">
      <xdr:nvSpPr>
        <xdr:cNvPr id="30350" name="Flowchart: Process 30349">
          <a:extLst>
            <a:ext uri="{FF2B5EF4-FFF2-40B4-BE49-F238E27FC236}">
              <a16:creationId xmlns:a16="http://schemas.microsoft.com/office/drawing/2014/main" id="{55295824-186A-4268-99CD-ADDC30090DF6}"/>
            </a:ext>
          </a:extLst>
        </xdr:cNvPr>
        <xdr:cNvSpPr/>
      </xdr:nvSpPr>
      <xdr:spPr>
        <a:xfrm>
          <a:off x="6651511" y="8763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46</xdr:row>
      <xdr:rowOff>0</xdr:rowOff>
    </xdr:from>
    <xdr:to>
      <xdr:col>10</xdr:col>
      <xdr:colOff>555511</xdr:colOff>
      <xdr:row>47</xdr:row>
      <xdr:rowOff>63500</xdr:rowOff>
    </xdr:to>
    <xdr:cxnSp macro="">
      <xdr:nvCxnSpPr>
        <xdr:cNvPr id="30351" name="Straight Connector 30350">
          <a:extLst>
            <a:ext uri="{FF2B5EF4-FFF2-40B4-BE49-F238E27FC236}">
              <a16:creationId xmlns:a16="http://schemas.microsoft.com/office/drawing/2014/main" id="{439F1041-A710-4C7D-A046-F5F4B3E8D167}"/>
            </a:ext>
          </a:extLst>
        </xdr:cNvPr>
        <xdr:cNvCxnSpPr/>
      </xdr:nvCxnSpPr>
      <xdr:spPr>
        <a:xfrm>
          <a:off x="6651511" y="8763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555511</xdr:colOff>
      <xdr:row>46</xdr:row>
      <xdr:rowOff>0</xdr:rowOff>
    </xdr:from>
    <xdr:to>
      <xdr:col>14</xdr:col>
      <xdr:colOff>339611</xdr:colOff>
      <xdr:row>47</xdr:row>
      <xdr:rowOff>63500</xdr:rowOff>
    </xdr:to>
    <xdr:sp macro="" textlink="">
      <xdr:nvSpPr>
        <xdr:cNvPr id="30352" name="Step_24d">
          <a:extLst>
            <a:ext uri="{FF2B5EF4-FFF2-40B4-BE49-F238E27FC236}">
              <a16:creationId xmlns:a16="http://schemas.microsoft.com/office/drawing/2014/main" id="{F8CA52AE-988B-42DD-A7A4-D7A8CDD3441C}"/>
            </a:ext>
          </a:extLst>
        </xdr:cNvPr>
        <xdr:cNvSpPr/>
      </xdr:nvSpPr>
      <xdr:spPr>
        <a:xfrm>
          <a:off x="6651511" y="8763000"/>
          <a:ext cx="2222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plumbing fixtures</a:t>
          </a:r>
        </a:p>
      </xdr:txBody>
    </xdr:sp>
    <xdr:clientData/>
  </xdr:twoCellAnchor>
  <xdr:twoCellAnchor>
    <xdr:from>
      <xdr:col>10</xdr:col>
      <xdr:colOff>555511</xdr:colOff>
      <xdr:row>48</xdr:row>
      <xdr:rowOff>0</xdr:rowOff>
    </xdr:from>
    <xdr:to>
      <xdr:col>11</xdr:col>
      <xdr:colOff>92098</xdr:colOff>
      <xdr:row>49</xdr:row>
      <xdr:rowOff>63500</xdr:rowOff>
    </xdr:to>
    <xdr:sp macro="" textlink="">
      <xdr:nvSpPr>
        <xdr:cNvPr id="30353" name="Step_25">
          <a:extLst>
            <a:ext uri="{FF2B5EF4-FFF2-40B4-BE49-F238E27FC236}">
              <a16:creationId xmlns:a16="http://schemas.microsoft.com/office/drawing/2014/main" id="{8B50FC3E-6533-4866-81C4-5363CF9FE863}"/>
            </a:ext>
          </a:extLst>
        </xdr:cNvPr>
        <xdr:cNvSpPr/>
      </xdr:nvSpPr>
      <xdr:spPr>
        <a:xfrm>
          <a:off x="6651511" y="9144000"/>
          <a:ext cx="146187" cy="254000"/>
        </a:xfrm>
        <a:prstGeom prst="flowChartProcess">
          <a:avLst/>
        </a:prstGeom>
        <a:solidFill>
          <a:srgbClr val="00C8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92098</xdr:colOff>
      <xdr:row>48</xdr:row>
      <xdr:rowOff>0</xdr:rowOff>
    </xdr:from>
    <xdr:to>
      <xdr:col>11</xdr:col>
      <xdr:colOff>238285</xdr:colOff>
      <xdr:row>49</xdr:row>
      <xdr:rowOff>63500</xdr:rowOff>
    </xdr:to>
    <xdr:sp macro="" textlink="">
      <xdr:nvSpPr>
        <xdr:cNvPr id="30354" name="Flowchart: Process 30353">
          <a:extLst>
            <a:ext uri="{FF2B5EF4-FFF2-40B4-BE49-F238E27FC236}">
              <a16:creationId xmlns:a16="http://schemas.microsoft.com/office/drawing/2014/main" id="{81C6EC6B-7E6A-4A9C-B166-03A0F12CCEA0}"/>
            </a:ext>
          </a:extLst>
        </xdr:cNvPr>
        <xdr:cNvSpPr/>
      </xdr:nvSpPr>
      <xdr:spPr>
        <a:xfrm>
          <a:off x="6797698" y="9144000"/>
          <a:ext cx="146187" cy="254000"/>
        </a:xfrm>
        <a:prstGeom prst="flowChartProcess">
          <a:avLst/>
        </a:prstGeom>
        <a:solidFill>
          <a:srgbClr val="0000FF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238285</xdr:colOff>
      <xdr:row>48</xdr:row>
      <xdr:rowOff>0</xdr:rowOff>
    </xdr:from>
    <xdr:to>
      <xdr:col>11</xdr:col>
      <xdr:colOff>530660</xdr:colOff>
      <xdr:row>49</xdr:row>
      <xdr:rowOff>63500</xdr:rowOff>
    </xdr:to>
    <xdr:sp macro="" textlink="">
      <xdr:nvSpPr>
        <xdr:cNvPr id="30355" name="Flowchart: Process 30354">
          <a:extLst>
            <a:ext uri="{FF2B5EF4-FFF2-40B4-BE49-F238E27FC236}">
              <a16:creationId xmlns:a16="http://schemas.microsoft.com/office/drawing/2014/main" id="{B20DBE56-F39F-44B4-B986-65C6857707C8}"/>
            </a:ext>
          </a:extLst>
        </xdr:cNvPr>
        <xdr:cNvSpPr/>
      </xdr:nvSpPr>
      <xdr:spPr>
        <a:xfrm>
          <a:off x="6943885" y="9144000"/>
          <a:ext cx="292375" cy="254000"/>
        </a:xfrm>
        <a:prstGeom prst="flowChartProcess">
          <a:avLst/>
        </a:prstGeom>
        <a:solidFill>
          <a:srgbClr val="C80000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48</xdr:row>
      <xdr:rowOff>0</xdr:rowOff>
    </xdr:from>
    <xdr:to>
      <xdr:col>11</xdr:col>
      <xdr:colOff>238285</xdr:colOff>
      <xdr:row>49</xdr:row>
      <xdr:rowOff>63500</xdr:rowOff>
    </xdr:to>
    <xdr:sp macro="" textlink="">
      <xdr:nvSpPr>
        <xdr:cNvPr id="30356" name="Flowchart: Process 30355">
          <a:extLst>
            <a:ext uri="{FF2B5EF4-FFF2-40B4-BE49-F238E27FC236}">
              <a16:creationId xmlns:a16="http://schemas.microsoft.com/office/drawing/2014/main" id="{1070DEDD-4D25-4F71-BA4C-E01F1EFCB236}"/>
            </a:ext>
          </a:extLst>
        </xdr:cNvPr>
        <xdr:cNvSpPr/>
      </xdr:nvSpPr>
      <xdr:spPr>
        <a:xfrm>
          <a:off x="6651511" y="9144000"/>
          <a:ext cx="292374" cy="254000"/>
        </a:xfrm>
        <a:prstGeom prst="flowChartProcess">
          <a:avLst/>
        </a:prstGeom>
        <a:solidFill>
          <a:schemeClr val="accent1">
            <a:alpha val="0"/>
          </a:schemeClr>
        </a:solidFill>
        <a:ln w="127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555511</xdr:colOff>
      <xdr:row>48</xdr:row>
      <xdr:rowOff>0</xdr:rowOff>
    </xdr:from>
    <xdr:to>
      <xdr:col>10</xdr:col>
      <xdr:colOff>555511</xdr:colOff>
      <xdr:row>49</xdr:row>
      <xdr:rowOff>63500</xdr:rowOff>
    </xdr:to>
    <xdr:cxnSp macro="">
      <xdr:nvCxnSpPr>
        <xdr:cNvPr id="30357" name="Straight Connector 30356">
          <a:extLst>
            <a:ext uri="{FF2B5EF4-FFF2-40B4-BE49-F238E27FC236}">
              <a16:creationId xmlns:a16="http://schemas.microsoft.com/office/drawing/2014/main" id="{C8DA2A2C-8717-411E-9729-8F77A41C9D33}"/>
            </a:ext>
          </a:extLst>
        </xdr:cNvPr>
        <xdr:cNvCxnSpPr/>
      </xdr:nvCxnSpPr>
      <xdr:spPr>
        <a:xfrm>
          <a:off x="6651511" y="9144000"/>
          <a:ext cx="0" cy="254000"/>
        </a:xfrm>
        <a:prstGeom prst="line">
          <a:avLst/>
        </a:prstGeom>
        <a:ln w="508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555511</xdr:colOff>
      <xdr:row>48</xdr:row>
      <xdr:rowOff>0</xdr:rowOff>
    </xdr:from>
    <xdr:to>
      <xdr:col>14</xdr:col>
      <xdr:colOff>466611</xdr:colOff>
      <xdr:row>49</xdr:row>
      <xdr:rowOff>63500</xdr:rowOff>
    </xdr:to>
    <xdr:sp macro="" textlink="">
      <xdr:nvSpPr>
        <xdr:cNvPr id="30358" name="Step_25d">
          <a:extLst>
            <a:ext uri="{FF2B5EF4-FFF2-40B4-BE49-F238E27FC236}">
              <a16:creationId xmlns:a16="http://schemas.microsoft.com/office/drawing/2014/main" id="{1A1690CE-EAFA-4B8E-98A5-9DA0D228E91C}"/>
            </a:ext>
          </a:extLst>
        </xdr:cNvPr>
        <xdr:cNvSpPr/>
      </xdr:nvSpPr>
      <xdr:spPr>
        <a:xfrm>
          <a:off x="6651511" y="9144000"/>
          <a:ext cx="2349500" cy="254000"/>
        </a:xfrm>
        <a:prstGeom prst="flowChartProcess">
          <a:avLst/>
        </a:prstGeom>
        <a:solidFill>
          <a:srgbClr val="FFFFFF">
            <a:alpha val="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0000"/>
              </a:solidFill>
            </a:rPr>
            <a:t>Install electrical fixtures</a:t>
          </a:r>
        </a:p>
      </xdr:txBody>
    </xdr:sp>
    <xdr:clientData/>
  </xdr:twoCellAnchor>
  <xdr:twoCellAnchor>
    <xdr:from>
      <xdr:col>0</xdr:col>
      <xdr:colOff>73093</xdr:colOff>
      <xdr:row>1</xdr:row>
      <xdr:rowOff>63500</xdr:rowOff>
    </xdr:from>
    <xdr:to>
      <xdr:col>0</xdr:col>
      <xdr:colOff>146186</xdr:colOff>
      <xdr:row>2</xdr:row>
      <xdr:rowOff>127000</xdr:rowOff>
    </xdr:to>
    <xdr:cxnSp macro="">
      <xdr:nvCxnSpPr>
        <xdr:cNvPr id="30359" name="Step_1__Step_2">
          <a:extLst>
            <a:ext uri="{FF2B5EF4-FFF2-40B4-BE49-F238E27FC236}">
              <a16:creationId xmlns:a16="http://schemas.microsoft.com/office/drawing/2014/main" id="{A56D6E1F-C0FE-40C5-8704-5091827C4777}"/>
            </a:ext>
          </a:extLst>
        </xdr:cNvPr>
        <xdr:cNvCxnSpPr>
          <a:stCxn id="30209" idx="2"/>
          <a:endCxn id="30215" idx="1"/>
        </xdr:cNvCxnSpPr>
      </xdr:nvCxnSpPr>
      <xdr:spPr>
        <a:xfrm rot="16200000" flipH="1">
          <a:off x="-17360" y="344453"/>
          <a:ext cx="254000" cy="7309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73093</xdr:colOff>
      <xdr:row>1</xdr:row>
      <xdr:rowOff>63500</xdr:rowOff>
    </xdr:from>
    <xdr:to>
      <xdr:col>0</xdr:col>
      <xdr:colOff>146186</xdr:colOff>
      <xdr:row>4</xdr:row>
      <xdr:rowOff>127000</xdr:rowOff>
    </xdr:to>
    <xdr:cxnSp macro="">
      <xdr:nvCxnSpPr>
        <xdr:cNvPr id="30360" name="Step_1__Step_3">
          <a:extLst>
            <a:ext uri="{FF2B5EF4-FFF2-40B4-BE49-F238E27FC236}">
              <a16:creationId xmlns:a16="http://schemas.microsoft.com/office/drawing/2014/main" id="{785E9880-FB23-4752-9991-15525D069E4C}"/>
            </a:ext>
          </a:extLst>
        </xdr:cNvPr>
        <xdr:cNvCxnSpPr>
          <a:stCxn id="30209" idx="2"/>
          <a:endCxn id="30221" idx="1"/>
        </xdr:cNvCxnSpPr>
      </xdr:nvCxnSpPr>
      <xdr:spPr>
        <a:xfrm rot="16200000" flipH="1">
          <a:off x="-207860" y="534953"/>
          <a:ext cx="635000" cy="7309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219280</xdr:colOff>
      <xdr:row>5</xdr:row>
      <xdr:rowOff>63500</xdr:rowOff>
    </xdr:from>
    <xdr:to>
      <xdr:col>0</xdr:col>
      <xdr:colOff>292373</xdr:colOff>
      <xdr:row>6</xdr:row>
      <xdr:rowOff>127000</xdr:rowOff>
    </xdr:to>
    <xdr:cxnSp macro="">
      <xdr:nvCxnSpPr>
        <xdr:cNvPr id="30361" name="Step_3__Step_4">
          <a:extLst>
            <a:ext uri="{FF2B5EF4-FFF2-40B4-BE49-F238E27FC236}">
              <a16:creationId xmlns:a16="http://schemas.microsoft.com/office/drawing/2014/main" id="{3ADE00AE-362D-4B1C-84A0-8E105B08BE39}"/>
            </a:ext>
          </a:extLst>
        </xdr:cNvPr>
        <xdr:cNvCxnSpPr>
          <a:stCxn id="30221" idx="2"/>
          <a:endCxn id="30227" idx="1"/>
        </xdr:cNvCxnSpPr>
      </xdr:nvCxnSpPr>
      <xdr:spPr>
        <a:xfrm rot="16200000" flipH="1">
          <a:off x="128827" y="1106453"/>
          <a:ext cx="254000" cy="7309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328920</xdr:colOff>
      <xdr:row>7</xdr:row>
      <xdr:rowOff>63500</xdr:rowOff>
    </xdr:from>
    <xdr:to>
      <xdr:col>0</xdr:col>
      <xdr:colOff>365467</xdr:colOff>
      <xdr:row>8</xdr:row>
      <xdr:rowOff>127000</xdr:rowOff>
    </xdr:to>
    <xdr:cxnSp macro="">
      <xdr:nvCxnSpPr>
        <xdr:cNvPr id="30362" name="Step_4__Step_5">
          <a:extLst>
            <a:ext uri="{FF2B5EF4-FFF2-40B4-BE49-F238E27FC236}">
              <a16:creationId xmlns:a16="http://schemas.microsoft.com/office/drawing/2014/main" id="{9C1A301F-FD6E-4E58-9AD8-E85701837632}"/>
            </a:ext>
          </a:extLst>
        </xdr:cNvPr>
        <xdr:cNvCxnSpPr>
          <a:stCxn id="30227" idx="2"/>
          <a:endCxn id="30233" idx="1"/>
        </xdr:cNvCxnSpPr>
      </xdr:nvCxnSpPr>
      <xdr:spPr>
        <a:xfrm rot="16200000" flipH="1">
          <a:off x="220194" y="1505726"/>
          <a:ext cx="254000" cy="3654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511654</xdr:colOff>
      <xdr:row>9</xdr:row>
      <xdr:rowOff>63500</xdr:rowOff>
    </xdr:from>
    <xdr:to>
      <xdr:col>1</xdr:col>
      <xdr:colOff>48241</xdr:colOff>
      <xdr:row>10</xdr:row>
      <xdr:rowOff>127000</xdr:rowOff>
    </xdr:to>
    <xdr:cxnSp macro="">
      <xdr:nvCxnSpPr>
        <xdr:cNvPr id="30363" name="Step_5__Step_6">
          <a:extLst>
            <a:ext uri="{FF2B5EF4-FFF2-40B4-BE49-F238E27FC236}">
              <a16:creationId xmlns:a16="http://schemas.microsoft.com/office/drawing/2014/main" id="{EE1987D7-F32A-4753-B95E-1087CA787600}"/>
            </a:ext>
          </a:extLst>
        </xdr:cNvPr>
        <xdr:cNvCxnSpPr>
          <a:stCxn id="30233" idx="2"/>
          <a:endCxn id="30239" idx="1"/>
        </xdr:cNvCxnSpPr>
      </xdr:nvCxnSpPr>
      <xdr:spPr>
        <a:xfrm rot="16200000" flipH="1">
          <a:off x="457748" y="1831906"/>
          <a:ext cx="254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340616</xdr:colOff>
      <xdr:row>11</xdr:row>
      <xdr:rowOff>63500</xdr:rowOff>
    </xdr:from>
    <xdr:to>
      <xdr:col>2</xdr:col>
      <xdr:colOff>23390</xdr:colOff>
      <xdr:row>12</xdr:row>
      <xdr:rowOff>127000</xdr:rowOff>
    </xdr:to>
    <xdr:cxnSp macro="">
      <xdr:nvCxnSpPr>
        <xdr:cNvPr id="30364" name="Step_6__Step_7">
          <a:extLst>
            <a:ext uri="{FF2B5EF4-FFF2-40B4-BE49-F238E27FC236}">
              <a16:creationId xmlns:a16="http://schemas.microsoft.com/office/drawing/2014/main" id="{C97B67A1-15CF-4380-A6C8-FCCC6BF3C398}"/>
            </a:ext>
          </a:extLst>
        </xdr:cNvPr>
        <xdr:cNvCxnSpPr>
          <a:stCxn id="30239" idx="2"/>
          <a:endCxn id="30245" idx="1"/>
        </xdr:cNvCxnSpPr>
      </xdr:nvCxnSpPr>
      <xdr:spPr>
        <a:xfrm rot="16200000" flipH="1">
          <a:off x="969403" y="2139813"/>
          <a:ext cx="254000" cy="292374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71631</xdr:colOff>
      <xdr:row>13</xdr:row>
      <xdr:rowOff>63500</xdr:rowOff>
    </xdr:from>
    <xdr:to>
      <xdr:col>4</xdr:col>
      <xdr:colOff>119872</xdr:colOff>
      <xdr:row>14</xdr:row>
      <xdr:rowOff>127000</xdr:rowOff>
    </xdr:to>
    <xdr:cxnSp macro="">
      <xdr:nvCxnSpPr>
        <xdr:cNvPr id="30365" name="Step_7__Step_8">
          <a:extLst>
            <a:ext uri="{FF2B5EF4-FFF2-40B4-BE49-F238E27FC236}">
              <a16:creationId xmlns:a16="http://schemas.microsoft.com/office/drawing/2014/main" id="{3E96763E-8E76-4000-B6E4-5967298A966C}"/>
            </a:ext>
          </a:extLst>
        </xdr:cNvPr>
        <xdr:cNvCxnSpPr>
          <a:stCxn id="30245" idx="2"/>
          <a:endCxn id="30251" idx="1"/>
        </xdr:cNvCxnSpPr>
      </xdr:nvCxnSpPr>
      <xdr:spPr>
        <a:xfrm rot="16200000" flipH="1">
          <a:off x="2102352" y="2338079"/>
          <a:ext cx="254000" cy="657841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558434</xdr:colOff>
      <xdr:row>15</xdr:row>
      <xdr:rowOff>63500</xdr:rowOff>
    </xdr:from>
    <xdr:to>
      <xdr:col>5</xdr:col>
      <xdr:colOff>387395</xdr:colOff>
      <xdr:row>16</xdr:row>
      <xdr:rowOff>127000</xdr:rowOff>
    </xdr:to>
    <xdr:cxnSp macro="">
      <xdr:nvCxnSpPr>
        <xdr:cNvPr id="30366" name="Step_8__Step_9">
          <a:extLst>
            <a:ext uri="{FF2B5EF4-FFF2-40B4-BE49-F238E27FC236}">
              <a16:creationId xmlns:a16="http://schemas.microsoft.com/office/drawing/2014/main" id="{69FF86C5-A19F-41B9-8D96-43F1AEDF5460}"/>
            </a:ext>
          </a:extLst>
        </xdr:cNvPr>
        <xdr:cNvCxnSpPr>
          <a:stCxn id="30251" idx="2"/>
          <a:endCxn id="30257" idx="1"/>
        </xdr:cNvCxnSpPr>
      </xdr:nvCxnSpPr>
      <xdr:spPr>
        <a:xfrm rot="16200000" flipH="1">
          <a:off x="3089115" y="2828719"/>
          <a:ext cx="254000" cy="438561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70170</xdr:colOff>
      <xdr:row>17</xdr:row>
      <xdr:rowOff>63500</xdr:rowOff>
    </xdr:from>
    <xdr:to>
      <xdr:col>6</xdr:col>
      <xdr:colOff>362544</xdr:colOff>
      <xdr:row>18</xdr:row>
      <xdr:rowOff>127000</xdr:rowOff>
    </xdr:to>
    <xdr:cxnSp macro="">
      <xdr:nvCxnSpPr>
        <xdr:cNvPr id="30367" name="Step_9__Step_10">
          <a:extLst>
            <a:ext uri="{FF2B5EF4-FFF2-40B4-BE49-F238E27FC236}">
              <a16:creationId xmlns:a16="http://schemas.microsoft.com/office/drawing/2014/main" id="{8907DCDB-B1A6-4BD7-BDB8-53E5D4CF48DC}"/>
            </a:ext>
          </a:extLst>
        </xdr:cNvPr>
        <xdr:cNvCxnSpPr>
          <a:stCxn id="30257" idx="2"/>
          <a:endCxn id="30263" idx="1"/>
        </xdr:cNvCxnSpPr>
      </xdr:nvCxnSpPr>
      <xdr:spPr>
        <a:xfrm rot="16200000" flipH="1">
          <a:off x="3746957" y="3282813"/>
          <a:ext cx="254000" cy="292374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70170</xdr:colOff>
      <xdr:row>17</xdr:row>
      <xdr:rowOff>63500</xdr:rowOff>
    </xdr:from>
    <xdr:to>
      <xdr:col>6</xdr:col>
      <xdr:colOff>362544</xdr:colOff>
      <xdr:row>20</xdr:row>
      <xdr:rowOff>127000</xdr:rowOff>
    </xdr:to>
    <xdr:cxnSp macro="">
      <xdr:nvCxnSpPr>
        <xdr:cNvPr id="30368" name="Step_9__Step_11">
          <a:extLst>
            <a:ext uri="{FF2B5EF4-FFF2-40B4-BE49-F238E27FC236}">
              <a16:creationId xmlns:a16="http://schemas.microsoft.com/office/drawing/2014/main" id="{64D8DDAB-CEB2-4374-BC19-93222C8362F9}"/>
            </a:ext>
          </a:extLst>
        </xdr:cNvPr>
        <xdr:cNvCxnSpPr>
          <a:stCxn id="30257" idx="2"/>
          <a:endCxn id="30269" idx="1"/>
        </xdr:cNvCxnSpPr>
      </xdr:nvCxnSpPr>
      <xdr:spPr>
        <a:xfrm rot="16200000" flipH="1">
          <a:off x="3556457" y="3473313"/>
          <a:ext cx="635000" cy="292374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45318</xdr:colOff>
      <xdr:row>19</xdr:row>
      <xdr:rowOff>63500</xdr:rowOff>
    </xdr:from>
    <xdr:to>
      <xdr:col>7</xdr:col>
      <xdr:colOff>337692</xdr:colOff>
      <xdr:row>22</xdr:row>
      <xdr:rowOff>127000</xdr:rowOff>
    </xdr:to>
    <xdr:cxnSp macro="">
      <xdr:nvCxnSpPr>
        <xdr:cNvPr id="30369" name="Step_10__Step_12">
          <a:extLst>
            <a:ext uri="{FF2B5EF4-FFF2-40B4-BE49-F238E27FC236}">
              <a16:creationId xmlns:a16="http://schemas.microsoft.com/office/drawing/2014/main" id="{2872D475-22BC-4AB5-872B-EA4CC159145C}"/>
            </a:ext>
          </a:extLst>
        </xdr:cNvPr>
        <xdr:cNvCxnSpPr>
          <a:stCxn id="30263" idx="2"/>
          <a:endCxn id="30275" idx="1"/>
        </xdr:cNvCxnSpPr>
      </xdr:nvCxnSpPr>
      <xdr:spPr>
        <a:xfrm rot="16200000" flipH="1">
          <a:off x="4141205" y="3854313"/>
          <a:ext cx="635000" cy="292374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20466</xdr:colOff>
      <xdr:row>23</xdr:row>
      <xdr:rowOff>63500</xdr:rowOff>
    </xdr:from>
    <xdr:to>
      <xdr:col>8</xdr:col>
      <xdr:colOff>312839</xdr:colOff>
      <xdr:row>24</xdr:row>
      <xdr:rowOff>127000</xdr:rowOff>
    </xdr:to>
    <xdr:cxnSp macro="">
      <xdr:nvCxnSpPr>
        <xdr:cNvPr id="30370" name="Step_12__Step_13">
          <a:extLst>
            <a:ext uri="{FF2B5EF4-FFF2-40B4-BE49-F238E27FC236}">
              <a16:creationId xmlns:a16="http://schemas.microsoft.com/office/drawing/2014/main" id="{1AD0982D-B4C5-49C4-A133-96CDC945DE16}"/>
            </a:ext>
          </a:extLst>
        </xdr:cNvPr>
        <xdr:cNvCxnSpPr>
          <a:stCxn id="30275" idx="2"/>
          <a:endCxn id="30281" idx="1"/>
        </xdr:cNvCxnSpPr>
      </xdr:nvCxnSpPr>
      <xdr:spPr>
        <a:xfrm rot="16200000" flipH="1">
          <a:off x="4916453" y="4425813"/>
          <a:ext cx="254000" cy="29237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20466</xdr:colOff>
      <xdr:row>23</xdr:row>
      <xdr:rowOff>63500</xdr:rowOff>
    </xdr:from>
    <xdr:to>
      <xdr:col>8</xdr:col>
      <xdr:colOff>312839</xdr:colOff>
      <xdr:row>26</xdr:row>
      <xdr:rowOff>127000</xdr:rowOff>
    </xdr:to>
    <xdr:cxnSp macro="">
      <xdr:nvCxnSpPr>
        <xdr:cNvPr id="30371" name="Step_12__Step_14">
          <a:extLst>
            <a:ext uri="{FF2B5EF4-FFF2-40B4-BE49-F238E27FC236}">
              <a16:creationId xmlns:a16="http://schemas.microsoft.com/office/drawing/2014/main" id="{8A53641C-F72E-4A60-8D62-663587B6B8B6}"/>
            </a:ext>
          </a:extLst>
        </xdr:cNvPr>
        <xdr:cNvCxnSpPr>
          <a:stCxn id="30275" idx="2"/>
          <a:endCxn id="30287" idx="1"/>
        </xdr:cNvCxnSpPr>
      </xdr:nvCxnSpPr>
      <xdr:spPr>
        <a:xfrm rot="16200000" flipH="1">
          <a:off x="4725953" y="4616313"/>
          <a:ext cx="635000" cy="29237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20466</xdr:colOff>
      <xdr:row>23</xdr:row>
      <xdr:rowOff>63500</xdr:rowOff>
    </xdr:from>
    <xdr:to>
      <xdr:col>8</xdr:col>
      <xdr:colOff>312839</xdr:colOff>
      <xdr:row>28</xdr:row>
      <xdr:rowOff>127000</xdr:rowOff>
    </xdr:to>
    <xdr:cxnSp macro="">
      <xdr:nvCxnSpPr>
        <xdr:cNvPr id="30372" name="Step_12__Step_15">
          <a:extLst>
            <a:ext uri="{FF2B5EF4-FFF2-40B4-BE49-F238E27FC236}">
              <a16:creationId xmlns:a16="http://schemas.microsoft.com/office/drawing/2014/main" id="{B64D32E3-1549-40FC-B61E-FD4E19576413}"/>
            </a:ext>
          </a:extLst>
        </xdr:cNvPr>
        <xdr:cNvCxnSpPr>
          <a:stCxn id="30275" idx="2"/>
          <a:endCxn id="30293" idx="1"/>
        </xdr:cNvCxnSpPr>
      </xdr:nvCxnSpPr>
      <xdr:spPr>
        <a:xfrm rot="16200000" flipH="1">
          <a:off x="4535453" y="4806813"/>
          <a:ext cx="1016000" cy="29237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385933</xdr:colOff>
      <xdr:row>27</xdr:row>
      <xdr:rowOff>63500</xdr:rowOff>
    </xdr:from>
    <xdr:to>
      <xdr:col>8</xdr:col>
      <xdr:colOff>459026</xdr:colOff>
      <xdr:row>30</xdr:row>
      <xdr:rowOff>127000</xdr:rowOff>
    </xdr:to>
    <xdr:cxnSp macro="">
      <xdr:nvCxnSpPr>
        <xdr:cNvPr id="30373" name="Step_14__Step_16">
          <a:extLst>
            <a:ext uri="{FF2B5EF4-FFF2-40B4-BE49-F238E27FC236}">
              <a16:creationId xmlns:a16="http://schemas.microsoft.com/office/drawing/2014/main" id="{4B74DF4C-3ABF-4BDA-88B1-FC8E58C3DC7F}"/>
            </a:ext>
          </a:extLst>
        </xdr:cNvPr>
        <xdr:cNvCxnSpPr>
          <a:stCxn id="30287" idx="2"/>
          <a:endCxn id="30299" idx="1"/>
        </xdr:cNvCxnSpPr>
      </xdr:nvCxnSpPr>
      <xdr:spPr>
        <a:xfrm rot="16200000" flipH="1">
          <a:off x="4981780" y="5487953"/>
          <a:ext cx="635000" cy="7309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70170</xdr:colOff>
      <xdr:row>17</xdr:row>
      <xdr:rowOff>63500</xdr:rowOff>
    </xdr:from>
    <xdr:to>
      <xdr:col>6</xdr:col>
      <xdr:colOff>362544</xdr:colOff>
      <xdr:row>32</xdr:row>
      <xdr:rowOff>127000</xdr:rowOff>
    </xdr:to>
    <xdr:cxnSp macro="">
      <xdr:nvCxnSpPr>
        <xdr:cNvPr id="30374" name="Step_9__Step_17">
          <a:extLst>
            <a:ext uri="{FF2B5EF4-FFF2-40B4-BE49-F238E27FC236}">
              <a16:creationId xmlns:a16="http://schemas.microsoft.com/office/drawing/2014/main" id="{1DD42774-E6EC-4F32-A08D-0913EBAB46ED}"/>
            </a:ext>
          </a:extLst>
        </xdr:cNvPr>
        <xdr:cNvCxnSpPr>
          <a:stCxn id="30257" idx="2"/>
          <a:endCxn id="30305" idx="1"/>
        </xdr:cNvCxnSpPr>
      </xdr:nvCxnSpPr>
      <xdr:spPr>
        <a:xfrm rot="16200000" flipH="1">
          <a:off x="2413457" y="4616313"/>
          <a:ext cx="2921000" cy="292374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532120</xdr:colOff>
      <xdr:row>31</xdr:row>
      <xdr:rowOff>63500</xdr:rowOff>
    </xdr:from>
    <xdr:to>
      <xdr:col>8</xdr:col>
      <xdr:colOff>605213</xdr:colOff>
      <xdr:row>34</xdr:row>
      <xdr:rowOff>127000</xdr:rowOff>
    </xdr:to>
    <xdr:cxnSp macro="">
      <xdr:nvCxnSpPr>
        <xdr:cNvPr id="30375" name="Step_16__Step_18">
          <a:extLst>
            <a:ext uri="{FF2B5EF4-FFF2-40B4-BE49-F238E27FC236}">
              <a16:creationId xmlns:a16="http://schemas.microsoft.com/office/drawing/2014/main" id="{E47211F4-5A81-4D29-A27C-7815D7D109D4}"/>
            </a:ext>
          </a:extLst>
        </xdr:cNvPr>
        <xdr:cNvCxnSpPr>
          <a:stCxn id="30299" idx="2"/>
          <a:endCxn id="30311" idx="1"/>
        </xdr:cNvCxnSpPr>
      </xdr:nvCxnSpPr>
      <xdr:spPr>
        <a:xfrm rot="16200000" flipH="1">
          <a:off x="5127967" y="6249953"/>
          <a:ext cx="635000" cy="73093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287987</xdr:colOff>
      <xdr:row>35</xdr:row>
      <xdr:rowOff>63500</xdr:rowOff>
    </xdr:from>
    <xdr:to>
      <xdr:col>9</xdr:col>
      <xdr:colOff>580362</xdr:colOff>
      <xdr:row>36</xdr:row>
      <xdr:rowOff>127000</xdr:rowOff>
    </xdr:to>
    <xdr:cxnSp macro="">
      <xdr:nvCxnSpPr>
        <xdr:cNvPr id="30376" name="Step_18__Step_19">
          <a:extLst>
            <a:ext uri="{FF2B5EF4-FFF2-40B4-BE49-F238E27FC236}">
              <a16:creationId xmlns:a16="http://schemas.microsoft.com/office/drawing/2014/main" id="{A8C5DBF4-E078-4906-98C0-1690DF3C8CF2}"/>
            </a:ext>
          </a:extLst>
        </xdr:cNvPr>
        <xdr:cNvCxnSpPr>
          <a:stCxn id="30311" idx="2"/>
          <a:endCxn id="30317" idx="1"/>
        </xdr:cNvCxnSpPr>
      </xdr:nvCxnSpPr>
      <xdr:spPr>
        <a:xfrm rot="16200000" flipH="1">
          <a:off x="5793575" y="6711812"/>
          <a:ext cx="254000" cy="292375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116949</xdr:colOff>
      <xdr:row>37</xdr:row>
      <xdr:rowOff>63500</xdr:rowOff>
    </xdr:from>
    <xdr:to>
      <xdr:col>10</xdr:col>
      <xdr:colOff>263136</xdr:colOff>
      <xdr:row>38</xdr:row>
      <xdr:rowOff>127000</xdr:rowOff>
    </xdr:to>
    <xdr:cxnSp macro="">
      <xdr:nvCxnSpPr>
        <xdr:cNvPr id="30377" name="Step_19__Step_20">
          <a:extLst>
            <a:ext uri="{FF2B5EF4-FFF2-40B4-BE49-F238E27FC236}">
              <a16:creationId xmlns:a16="http://schemas.microsoft.com/office/drawing/2014/main" id="{3E040446-1B8F-4D29-B732-DCFF4072139B}"/>
            </a:ext>
          </a:extLst>
        </xdr:cNvPr>
        <xdr:cNvCxnSpPr>
          <a:stCxn id="30317" idx="2"/>
          <a:endCxn id="30323" idx="1"/>
        </xdr:cNvCxnSpPr>
      </xdr:nvCxnSpPr>
      <xdr:spPr>
        <a:xfrm rot="16200000" flipH="1">
          <a:off x="6159043" y="7165906"/>
          <a:ext cx="254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409323</xdr:colOff>
      <xdr:row>39</xdr:row>
      <xdr:rowOff>63500</xdr:rowOff>
    </xdr:from>
    <xdr:to>
      <xdr:col>10</xdr:col>
      <xdr:colOff>555510</xdr:colOff>
      <xdr:row>40</xdr:row>
      <xdr:rowOff>127000</xdr:rowOff>
    </xdr:to>
    <xdr:cxnSp macro="">
      <xdr:nvCxnSpPr>
        <xdr:cNvPr id="30378" name="Step_20__Step_21">
          <a:extLst>
            <a:ext uri="{FF2B5EF4-FFF2-40B4-BE49-F238E27FC236}">
              <a16:creationId xmlns:a16="http://schemas.microsoft.com/office/drawing/2014/main" id="{7862ED9C-2C1D-4E8E-B26E-985EC591ECB0}"/>
            </a:ext>
          </a:extLst>
        </xdr:cNvPr>
        <xdr:cNvCxnSpPr>
          <a:stCxn id="30323" idx="2"/>
          <a:endCxn id="30329" idx="1"/>
        </xdr:cNvCxnSpPr>
      </xdr:nvCxnSpPr>
      <xdr:spPr>
        <a:xfrm rot="16200000" flipH="1">
          <a:off x="6451417" y="7546906"/>
          <a:ext cx="254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116949</xdr:colOff>
      <xdr:row>37</xdr:row>
      <xdr:rowOff>63500</xdr:rowOff>
    </xdr:from>
    <xdr:to>
      <xdr:col>10</xdr:col>
      <xdr:colOff>263136</xdr:colOff>
      <xdr:row>42</xdr:row>
      <xdr:rowOff>127000</xdr:rowOff>
    </xdr:to>
    <xdr:cxnSp macro="">
      <xdr:nvCxnSpPr>
        <xdr:cNvPr id="30379" name="Step_19__Step_22">
          <a:extLst>
            <a:ext uri="{FF2B5EF4-FFF2-40B4-BE49-F238E27FC236}">
              <a16:creationId xmlns:a16="http://schemas.microsoft.com/office/drawing/2014/main" id="{F1092C6A-636E-41AC-83BB-B0ED2958B7B7}"/>
            </a:ext>
          </a:extLst>
        </xdr:cNvPr>
        <xdr:cNvCxnSpPr>
          <a:stCxn id="30317" idx="2"/>
          <a:endCxn id="30335" idx="1"/>
        </xdr:cNvCxnSpPr>
      </xdr:nvCxnSpPr>
      <xdr:spPr>
        <a:xfrm rot="16200000" flipH="1">
          <a:off x="5778043" y="7546906"/>
          <a:ext cx="1016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409323</xdr:colOff>
      <xdr:row>43</xdr:row>
      <xdr:rowOff>63500</xdr:rowOff>
    </xdr:from>
    <xdr:to>
      <xdr:col>10</xdr:col>
      <xdr:colOff>555510</xdr:colOff>
      <xdr:row>44</xdr:row>
      <xdr:rowOff>127000</xdr:rowOff>
    </xdr:to>
    <xdr:cxnSp macro="">
      <xdr:nvCxnSpPr>
        <xdr:cNvPr id="30380" name="Step_22__Step_23">
          <a:extLst>
            <a:ext uri="{FF2B5EF4-FFF2-40B4-BE49-F238E27FC236}">
              <a16:creationId xmlns:a16="http://schemas.microsoft.com/office/drawing/2014/main" id="{784F8CEE-7BE3-4622-80D7-AE0223A3A69C}"/>
            </a:ext>
          </a:extLst>
        </xdr:cNvPr>
        <xdr:cNvCxnSpPr>
          <a:stCxn id="30335" idx="2"/>
          <a:endCxn id="30341" idx="1"/>
        </xdr:cNvCxnSpPr>
      </xdr:nvCxnSpPr>
      <xdr:spPr>
        <a:xfrm rot="16200000" flipH="1">
          <a:off x="6451417" y="8308906"/>
          <a:ext cx="254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409323</xdr:colOff>
      <xdr:row>43</xdr:row>
      <xdr:rowOff>63500</xdr:rowOff>
    </xdr:from>
    <xdr:to>
      <xdr:col>10</xdr:col>
      <xdr:colOff>555510</xdr:colOff>
      <xdr:row>46</xdr:row>
      <xdr:rowOff>127000</xdr:rowOff>
    </xdr:to>
    <xdr:cxnSp macro="">
      <xdr:nvCxnSpPr>
        <xdr:cNvPr id="30381" name="Step_22__Step_24">
          <a:extLst>
            <a:ext uri="{FF2B5EF4-FFF2-40B4-BE49-F238E27FC236}">
              <a16:creationId xmlns:a16="http://schemas.microsoft.com/office/drawing/2014/main" id="{EF9B3EB0-17C6-4AEE-9A4F-824421207A1A}"/>
            </a:ext>
          </a:extLst>
        </xdr:cNvPr>
        <xdr:cNvCxnSpPr>
          <a:stCxn id="30335" idx="2"/>
          <a:endCxn id="30347" idx="1"/>
        </xdr:cNvCxnSpPr>
      </xdr:nvCxnSpPr>
      <xdr:spPr>
        <a:xfrm rot="16200000" flipH="1">
          <a:off x="6260917" y="8499406"/>
          <a:ext cx="635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409323</xdr:colOff>
      <xdr:row>43</xdr:row>
      <xdr:rowOff>63500</xdr:rowOff>
    </xdr:from>
    <xdr:to>
      <xdr:col>10</xdr:col>
      <xdr:colOff>555510</xdr:colOff>
      <xdr:row>48</xdr:row>
      <xdr:rowOff>127000</xdr:rowOff>
    </xdr:to>
    <xdr:cxnSp macro="">
      <xdr:nvCxnSpPr>
        <xdr:cNvPr id="30382" name="Step_22__Step_25">
          <a:extLst>
            <a:ext uri="{FF2B5EF4-FFF2-40B4-BE49-F238E27FC236}">
              <a16:creationId xmlns:a16="http://schemas.microsoft.com/office/drawing/2014/main" id="{AA742886-A67F-42D9-8CF9-87D6E82CB407}"/>
            </a:ext>
          </a:extLst>
        </xdr:cNvPr>
        <xdr:cNvCxnSpPr>
          <a:stCxn id="30335" idx="2"/>
          <a:endCxn id="30353" idx="1"/>
        </xdr:cNvCxnSpPr>
      </xdr:nvCxnSpPr>
      <xdr:spPr>
        <a:xfrm rot="16200000" flipH="1">
          <a:off x="6070417" y="8689906"/>
          <a:ext cx="1016000" cy="146187"/>
        </a:xfrm>
        <a:prstGeom prst="bentConnector2">
          <a:avLst/>
        </a:prstGeom>
        <a:ln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ans%20account/Documents/WORK/Business/SRC%20TRADES%20LLC/Management/Construction/Projects/TO%20QUOTE/Judy,%20Various%20work/Judy,%20Various%20work_Project%20work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Sheet1"/>
      <sheetName val="TO DO"/>
      <sheetName val="STATUS"/>
      <sheetName val="CYCLE"/>
      <sheetName val="DESCRIPTION"/>
      <sheetName val="Tasks"/>
      <sheetName val="Properties"/>
      <sheetName val="Files and Pictures"/>
      <sheetName val="Direct Costs Input"/>
      <sheetName val="Worksheet Budget"/>
      <sheetName val="Material"/>
      <sheetName val="Labor"/>
      <sheetName val="Quote"/>
      <sheetName val="Invoice"/>
      <sheetName val="RECEIPT"/>
      <sheetName val="PNL"/>
      <sheetName val="Ex_q"/>
      <sheetName val="La_q"/>
      <sheetName val="Judy, Various work_Project work"/>
    </sheetNames>
    <sheetDataSet>
      <sheetData sheetId="0" refreshError="1"/>
      <sheetData sheetId="1"/>
      <sheetData sheetId="2"/>
      <sheetData sheetId="3"/>
      <sheetData sheetId="4"/>
      <sheetData sheetId="5">
        <row r="6">
          <cell r="C6" t="str">
            <v>PERT.xlsm</v>
          </cell>
        </row>
        <row r="15">
          <cell r="C15" t="str">
            <v>Judy</v>
          </cell>
        </row>
        <row r="16">
          <cell r="C16" t="str">
            <v>Okita</v>
          </cell>
        </row>
        <row r="21">
          <cell r="C21" t="str">
            <v>Pullman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10">
          <cell r="D10">
            <v>2720.6</v>
          </cell>
        </row>
        <row r="11">
          <cell r="D11">
            <v>212.20679999999999</v>
          </cell>
        </row>
      </sheetData>
      <sheetData sheetId="14">
        <row r="8">
          <cell r="D8">
            <v>100</v>
          </cell>
        </row>
        <row r="9">
          <cell r="D9">
            <v>7.8</v>
          </cell>
        </row>
      </sheetData>
      <sheetData sheetId="15"/>
      <sheetData sheetId="16"/>
      <sheetData sheetId="17"/>
      <sheetData sheetId="18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28205F-8CE3-4181-9BA7-A1AD777CBABC}" name="Table2" displayName="Table2" ref="A2:B6" headerRowCount="0" totalsRowShown="0">
  <tableColumns count="2">
    <tableColumn id="1" xr3:uid="{10485B83-D1A1-4742-8A0F-DF57EF9A2125}" name="Column1"/>
    <tableColumn id="2" xr3:uid="{A781C919-292F-4044-BFF9-558850C2203C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82F3C2-2EDF-4AAB-A23A-37C53A7142F2}" name="Instructions_Table" displayName="Instructions_Table" ref="B9:AC35" totalsRowCount="1" headerRowDxfId="58" dataDxfId="57" totalsRowDxfId="56">
  <autoFilter ref="B9:AC34" xr:uid="{5D542E48-AB08-4113-9AEB-19D40E516FCA}"/>
  <tableColumns count="28">
    <tableColumn id="16" xr3:uid="{ABB5F48C-C4B1-40C9-9FD5-EABBA5795C65}" name="Step" totalsRowFunction="max" dataDxfId="55" totalsRowDxfId="54">
      <calculatedColumnFormula>ROW(Instructions_Table[#This Row])-ROW(Instructions_Table[#Headers])-1+START</calculatedColumnFormula>
    </tableColumn>
    <tableColumn id="22" xr3:uid="{BD25814F-FA1A-4C90-91C8-B7A10E177359}" name="Stepped percentag" dataDxfId="53" totalsRowDxfId="52" dataCellStyle="Percent">
      <calculatedColumnFormula>Instructions_Table[[#This Row],[Step]]/(MAX(Instructions_Table[Step])-MIN(Instructions_Table[Step]))</calculatedColumnFormula>
    </tableColumn>
    <tableColumn id="17" xr3:uid="{C9B5E057-F81D-4243-A82B-FF7738BB1669}" name="Prereq" dataDxfId="51" totalsRowDxfId="50"/>
    <tableColumn id="24" xr3:uid="{06BF1F8E-5B70-48F6-8F15-456E4BB33169}" name="Start" dataDxfId="49" totalsRowDxfId="48">
      <calculatedColumnFormula>Instructions_Table[[#This Row],[Prereq]]/B$34</calculatedColumnFormula>
    </tableColumn>
    <tableColumn id="1" xr3:uid="{E59BB5C7-2AF2-4C67-A2B6-71CD61DF26FD}" name="INSTRUCTIONS" dataDxfId="47" totalsRowDxfId="46"/>
    <tableColumn id="5" xr3:uid="{8831D1B6-A651-4307-ABBF-7BCF00E9C340}" name="Optimistic time (hrs)" totalsRowFunction="sum" dataDxfId="45" totalsRowDxfId="44"/>
    <tableColumn id="18" xr3:uid="{B9E8222F-BDB5-4271-9B3B-6EAE47063682}" name="O0" dataDxfId="43" totalsRowDxfId="42" dataCellStyle="Percent"/>
    <tableColumn id="19" xr3:uid="{FBBD9F08-3746-4C28-9E9D-78C757D70310}" name="Optimistic percentage" totalsRowFunction="custom" dataDxfId="41" totalsRowDxfId="40" dataCellStyle="Percent">
      <calculatedColumnFormula>Instructions_Table[[#This Row],[Optimistic time (hrs)]]/DUR</calculatedColumnFormula>
      <totalsRowFormula>SUM(Instructions_Table[Optimistic percentage])</totalsRowFormula>
    </tableColumn>
    <tableColumn id="15" xr3:uid="{AEECC4F8-E94D-42EF-A647-D5247E96410A}" name="Of" dataDxfId="39" totalsRowDxfId="38" dataCellStyle="Percent"/>
    <tableColumn id="3" xr3:uid="{AD44AB57-264C-491F-A75E-6FB00025378D}" name="Most likely time (hrs)" totalsRowFunction="sum" dataDxfId="37" totalsRowDxfId="36"/>
    <tableColumn id="27" xr3:uid="{C302ACC9-1164-4315-9E8E-0D601D35E0F5}" name="M0" dataDxfId="35" totalsRowDxfId="34" dataCellStyle="Percent"/>
    <tableColumn id="20" xr3:uid="{AEA9344A-0BAB-4B94-B1BA-6DD06927BB3A}" name="Most likely percentage" totalsRowFunction="custom" dataDxfId="33" totalsRowDxfId="32" dataCellStyle="Percent">
      <calculatedColumnFormula>Instructions_Table[[#This Row],[Most likely time (hrs)]]/DUR</calculatedColumnFormula>
      <totalsRowFormula>SUM(Instructions_Table[Most likely percentage])</totalsRowFormula>
    </tableColumn>
    <tableColumn id="28" xr3:uid="{A8B0C59C-CC52-4EB7-93DD-D8C73DDB3BAE}" name="Mf" dataDxfId="31" totalsRowDxfId="30" dataCellStyle="Percent"/>
    <tableColumn id="2" xr3:uid="{E8A7DD7E-4A07-4414-9451-D782008E3ABD}" name="M diff" dataDxfId="29" totalsRowDxfId="28" dataCellStyle="Percent"/>
    <tableColumn id="4" xr3:uid="{98EB0F31-857C-4BD3-9579-7C3B504FF92E}" name="Pessimistic time (hrs)" totalsRowFunction="sum" dataDxfId="27" totalsRowDxfId="26"/>
    <tableColumn id="23" xr3:uid="{F7AE4564-622B-44CB-8E78-98C2685D23C9}" name="P0" dataDxfId="25" totalsRowDxfId="24" dataCellStyle="Percent"/>
    <tableColumn id="21" xr3:uid="{345620D6-AB9B-4E77-AA73-87732566CCB9}" name="Pessimistic percentage" totalsRowFunction="sum" dataDxfId="23" totalsRowDxfId="22" dataCellStyle="Percent">
      <calculatedColumnFormula>Instructions_Table[[#This Row],[Pessimistic time (hrs)]]/DUR</calculatedColumnFormula>
    </tableColumn>
    <tableColumn id="26" xr3:uid="{845A7590-52A9-430C-A84B-4B3668BC1FEC}" name="Pf" dataDxfId="21" totalsRowDxfId="20" dataCellStyle="Percent"/>
    <tableColumn id="8" xr3:uid="{77835E1A-1683-4314-8EFF-88A4106174AB}" name="P diff" dataDxfId="19" totalsRowDxfId="18" dataCellStyle="Percent">
      <calculatedColumnFormula>Instructions_Table[[#This Row],[Pessimistic percentage]]-Instructions_Table[[#This Row],[Most likely percentage]]</calculatedColumnFormula>
    </tableColumn>
    <tableColumn id="6" xr3:uid="{E3F0FF86-AB11-45BE-ADB0-7CE437E563AE}" name="Expected time (hrs)" totalsRowFunction="sum" dataDxfId="17" totalsRowDxfId="16" dataCellStyle="Percent"/>
    <tableColumn id="25" xr3:uid="{388B34F8-98E3-4B63-8CE5-8631FA58787F}" name="Expected time percentage" totalsRowFunction="sum" dataDxfId="15" totalsRowDxfId="14" dataCellStyle="Percent">
      <calculatedColumnFormula>Instructions_Table[[#This Row],[Optimistic time (hrs)]]/DUR</calculatedColumnFormula>
    </tableColumn>
    <tableColumn id="7" xr3:uid="{FAC682FA-F680-47E6-AF0F-FBC03C4AF782}" name="Type" dataDxfId="13" totalsRowDxfId="12"/>
    <tableColumn id="9" xr3:uid="{D61E4A1D-663A-49C3-BF4B-78714EA0B99B}" name="Actual percentage complete" dataDxfId="11" totalsRowDxfId="10"/>
    <tableColumn id="11" xr3:uid="{9D33CCD4-EE81-4A99-8172-364349DD7520}" name="Actual time done" dataDxfId="9" totalsRowDxfId="8"/>
    <tableColumn id="12" xr3:uid="{FAEAB9FA-D207-4A8C-9E67-DEEA6C59F246}" name="Total time calculated" dataDxfId="7" totalsRowDxfId="6">
      <calculatedColumnFormula>IF(Instructions_Table[[#This Row],[Actual percentage complete]]&lt;&gt;0,Instructions_Table[[#This Row],[Actual time done]]/Instructions_Table[[#This Row],[Actual percentage complete]],Instructions_Table[[#This Row],[Most likely time (hrs)]])</calculatedColumnFormula>
    </tableColumn>
    <tableColumn id="10" xr3:uid="{F1F9D739-F374-4364-B3C5-A1032880DF08}" name="A diff" dataDxfId="5" totalsRowDxfId="4">
      <calculatedColumnFormula>Instructions_Table[[#This Row],[Total time calculated]]/DUR</calculatedColumnFormula>
    </tableColumn>
    <tableColumn id="13" xr3:uid="{7CBFA153-2791-440D-AC36-F85C7FFB8E2E}" name="A dif done" dataDxfId="3" totalsRowDxfId="2">
      <calculatedColumnFormula>Instructions_Table[[#This Row],[A diff]]*Instructions_Table[[#This Row],[Actual percentage complete]]</calculatedColumnFormula>
    </tableColumn>
    <tableColumn id="14" xr3:uid="{9E68FE2E-08B1-44BE-9293-2E949D511AE4}" name="A dif remaining" dataDxfId="1" totalsRowDxfId="0">
      <calculatedColumnFormula>Instructions_Table[[#This Row],[A diff]]-Instructions_Table[[#This Row],[A dif done]]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E6CFF-E44A-41B9-B0AB-9D73DAAC7EA0}">
  <sheetPr codeName="Sheet1"/>
  <dimension ref="A2:AC53"/>
  <sheetViews>
    <sheetView topLeftCell="D8" zoomScale="70" zoomScaleNormal="70" workbookViewId="0">
      <selection activeCell="R9" sqref="R9"/>
    </sheetView>
  </sheetViews>
  <sheetFormatPr defaultRowHeight="15" x14ac:dyDescent="0.25"/>
  <cols>
    <col min="1" max="1" width="20.7109375" bestFit="1" customWidth="1"/>
    <col min="2" max="2" width="11" customWidth="1"/>
    <col min="3" max="3" width="12" customWidth="1"/>
    <col min="4" max="4" width="9.5703125" customWidth="1"/>
    <col min="5" max="5" width="12.7109375" customWidth="1"/>
    <col min="6" max="6" width="45.28515625" bestFit="1" customWidth="1"/>
    <col min="7" max="7" width="16.7109375" bestFit="1" customWidth="1"/>
    <col min="8" max="8" width="14.7109375" bestFit="1" customWidth="1"/>
    <col min="9" max="9" width="17.140625" bestFit="1" customWidth="1"/>
    <col min="10" max="10" width="15.7109375" bestFit="1" customWidth="1"/>
    <col min="11" max="11" width="11.5703125" bestFit="1" customWidth="1"/>
    <col min="12" max="12" width="10.7109375" customWidth="1"/>
    <col min="13" max="13" width="20" bestFit="1" customWidth="1"/>
    <col min="14" max="14" width="10.85546875" bestFit="1" customWidth="1"/>
    <col min="15" max="15" width="18.85546875" bestFit="1" customWidth="1"/>
    <col min="16" max="16" width="20" bestFit="1" customWidth="1"/>
    <col min="18" max="18" width="20" bestFit="1" customWidth="1"/>
    <col min="20" max="20" width="13.85546875" bestFit="1" customWidth="1"/>
    <col min="21" max="21" width="15.28515625" bestFit="1" customWidth="1"/>
    <col min="22" max="22" width="16.85546875" customWidth="1"/>
    <col min="23" max="23" width="17" customWidth="1"/>
    <col min="24" max="24" width="20" bestFit="1" customWidth="1"/>
    <col min="26" max="26" width="13.42578125" bestFit="1" customWidth="1"/>
    <col min="28" max="28" width="14.7109375" customWidth="1"/>
    <col min="29" max="29" width="22" bestFit="1" customWidth="1"/>
  </cols>
  <sheetData>
    <row r="2" spans="1:29" x14ac:dyDescent="0.25">
      <c r="A2" t="str">
        <f>Instructions_Table[[#Headers],[Optimistic time (hrs)]]</f>
        <v>Optimistic time (hrs)</v>
      </c>
      <c r="B2">
        <f>Instructions_Table[[#Totals],[Optimistic time (hrs)]]</f>
        <v>278</v>
      </c>
    </row>
    <row r="3" spans="1:29" x14ac:dyDescent="0.25">
      <c r="A3" t="str">
        <f>Instructions_Table[[#Headers],[Most likely time (hrs)]]</f>
        <v>Most likely time (hrs)</v>
      </c>
      <c r="B3">
        <f>Instructions_Table[[#Totals],[Most likely time (hrs)]]</f>
        <v>524</v>
      </c>
    </row>
    <row r="4" spans="1:29" x14ac:dyDescent="0.25">
      <c r="A4" t="str">
        <f>Instructions_Table[[#Headers],[Pessimistic time (hrs)]]</f>
        <v>Pessimistic time (hrs)</v>
      </c>
      <c r="B4">
        <f>Instructions_Table[[#Totals],[Pessimistic time (hrs)]]</f>
        <v>861</v>
      </c>
    </row>
    <row r="5" spans="1:29" x14ac:dyDescent="0.25">
      <c r="A5" t="s">
        <v>39</v>
      </c>
      <c r="B5">
        <v>278</v>
      </c>
    </row>
    <row r="6" spans="1:29" x14ac:dyDescent="0.25">
      <c r="A6" t="s">
        <v>5</v>
      </c>
      <c r="B6">
        <v>1</v>
      </c>
    </row>
    <row r="9" spans="1:29" ht="83.25" customHeight="1" x14ac:dyDescent="0.25">
      <c r="B9" s="15" t="s">
        <v>0</v>
      </c>
      <c r="C9" s="8" t="s">
        <v>34</v>
      </c>
      <c r="D9" s="1" t="s">
        <v>1</v>
      </c>
      <c r="E9" s="8" t="s">
        <v>53</v>
      </c>
      <c r="F9" s="1" t="s">
        <v>2</v>
      </c>
      <c r="G9" s="3" t="s">
        <v>44</v>
      </c>
      <c r="H9" s="8" t="s">
        <v>58</v>
      </c>
      <c r="I9" s="8" t="s">
        <v>30</v>
      </c>
      <c r="J9" s="8" t="s">
        <v>57</v>
      </c>
      <c r="K9" s="3" t="s">
        <v>45</v>
      </c>
      <c r="L9" s="8" t="s">
        <v>61</v>
      </c>
      <c r="M9" s="8" t="s">
        <v>31</v>
      </c>
      <c r="N9" s="8" t="s">
        <v>62</v>
      </c>
      <c r="O9" s="8" t="s">
        <v>40</v>
      </c>
      <c r="P9" s="3" t="s">
        <v>46</v>
      </c>
      <c r="Q9" s="8" t="s">
        <v>59</v>
      </c>
      <c r="R9" s="8" t="s">
        <v>32</v>
      </c>
      <c r="S9" s="8" t="s">
        <v>60</v>
      </c>
      <c r="T9" s="8" t="s">
        <v>41</v>
      </c>
      <c r="U9" s="8" t="s">
        <v>47</v>
      </c>
      <c r="V9" s="8" t="s">
        <v>33</v>
      </c>
      <c r="W9" s="3" t="s">
        <v>3</v>
      </c>
      <c r="X9" s="3" t="s">
        <v>43</v>
      </c>
      <c r="Y9" s="3" t="s">
        <v>51</v>
      </c>
      <c r="Z9" s="3" t="s">
        <v>52</v>
      </c>
      <c r="AA9" s="1" t="s">
        <v>48</v>
      </c>
      <c r="AB9" s="1" t="s">
        <v>49</v>
      </c>
      <c r="AC9" s="1" t="s">
        <v>50</v>
      </c>
    </row>
    <row r="10" spans="1:29" x14ac:dyDescent="0.25">
      <c r="B10" s="14">
        <f>ROW(Instructions_Table[#This Row])-ROW(Instructions_Table[#Headers])-1+START</f>
        <v>1</v>
      </c>
      <c r="C10" s="21">
        <f>Instructions_Table[[#This Row],[Step]]/(MAX(Instructions_Table[Step])-MIN(Instructions_Table[Step])+1)</f>
        <v>0.04</v>
      </c>
      <c r="D10" s="17"/>
      <c r="E10" s="22">
        <f>Instructions_Table[[#This Row],[Prereq]]/B$34</f>
        <v>0</v>
      </c>
      <c r="F10" s="17" t="s">
        <v>36</v>
      </c>
      <c r="G10" s="20">
        <v>4</v>
      </c>
      <c r="H10" s="9">
        <v>0</v>
      </c>
      <c r="I10" s="9">
        <f>Instructions_Table[[#This Row],[Optimistic time (hrs)]]/DUR</f>
        <v>1.4388489208633094E-2</v>
      </c>
      <c r="J10" s="9">
        <f>Instructions_Table[[#This Row],[Optimistic percentage]]+Instructions_Table[[#This Row],[O0]]</f>
        <v>1.4388489208633094E-2</v>
      </c>
      <c r="K10" s="20">
        <v>16</v>
      </c>
      <c r="L10" s="9">
        <v>0</v>
      </c>
      <c r="M10" s="9">
        <f>Instructions_Table[[#This Row],[Most likely time (hrs)]]/DUR</f>
        <v>5.7553956834532377E-2</v>
      </c>
      <c r="N10" s="9">
        <f>Instructions_Table[[#This Row],[M0]]+Instructions_Table[[#This Row],[Most likely percentage]]</f>
        <v>5.7553956834532377E-2</v>
      </c>
      <c r="O10" s="12">
        <f>(Instructions_Table[[#This Row],[Most likely time (hrs)]]-Instructions_Table[[#This Row],[Optimistic time (hrs)]])/DUR</f>
        <v>4.3165467625899283E-2</v>
      </c>
      <c r="P10" s="20">
        <v>85</v>
      </c>
      <c r="Q10" s="9">
        <v>0</v>
      </c>
      <c r="R10" s="9">
        <f>Instructions_Table[[#This Row],[Pessimistic time (hrs)]]/DUR</f>
        <v>0.30575539568345322</v>
      </c>
      <c r="S10" s="9">
        <f>Instructions_Table[[#This Row],[P0]]+Instructions_Table[[#This Row],[Pessimistic percentage]]</f>
        <v>0.30575539568345322</v>
      </c>
      <c r="T10" s="13">
        <f>Instructions_Table[[#This Row],[Pessimistic percentage]]-Instructions_Table[[#This Row],[Most likely percentage]]</f>
        <v>0.24820143884892085</v>
      </c>
      <c r="U10" s="11">
        <v>4</v>
      </c>
      <c r="V10" s="9">
        <f>Instructions_Table[[#This Row],[Optimistic time (hrs)]]/DUR</f>
        <v>1.4388489208633094E-2</v>
      </c>
      <c r="W10" s="19" t="s">
        <v>38</v>
      </c>
      <c r="X10" s="7">
        <v>0.5</v>
      </c>
      <c r="Y10" s="18">
        <v>16</v>
      </c>
      <c r="Z10" s="18">
        <f>IF(Instructions_Table[[#This Row],[Actual percentage complete]]&lt;&gt;0,Instructions_Table[[#This Row],[Actual time done]]/Instructions_Table[[#This Row],[Actual percentage complete]],Instructions_Table[[#This Row],[Most likely time (hrs)]])</f>
        <v>32</v>
      </c>
      <c r="AA10" s="5">
        <f>Instructions_Table[[#This Row],[Total time calculated]]/DUR</f>
        <v>0.11510791366906475</v>
      </c>
      <c r="AB10" s="5">
        <f>Instructions_Table[[#This Row],[A diff]]*Instructions_Table[[#This Row],[Actual percentage complete]]</f>
        <v>5.7553956834532377E-2</v>
      </c>
      <c r="AC10" s="5">
        <f>Instructions_Table[[#This Row],[A diff]]-Instructions_Table[[#This Row],[A dif done]]</f>
        <v>5.7553956834532377E-2</v>
      </c>
    </row>
    <row r="11" spans="1:29" x14ac:dyDescent="0.25">
      <c r="B11" s="14">
        <f>ROW(Instructions_Table[#This Row])-ROW(Instructions_Table[#Headers])-1+START</f>
        <v>2</v>
      </c>
      <c r="C11" s="21">
        <f>Instructions_Table[[#This Row],[Step]]/(MAX(Instructions_Table[Step])-MIN(Instructions_Table[Step])+1)</f>
        <v>0.08</v>
      </c>
      <c r="D11" s="17">
        <f>B10</f>
        <v>1</v>
      </c>
      <c r="E11" s="22">
        <f>Instructions_Table[[#This Row],[Prereq]]/B$34</f>
        <v>0.04</v>
      </c>
      <c r="F11" s="17" t="s">
        <v>37</v>
      </c>
      <c r="G11" s="20">
        <v>4</v>
      </c>
      <c r="H11" s="9">
        <f>LOOKUP(Instructions_Table[[#This Row],[Prereq]],Instructions_Table[Step],Instructions_Table[Of])</f>
        <v>1.4388489208633094E-2</v>
      </c>
      <c r="I11" s="9">
        <f>Instructions_Table[[#This Row],[Optimistic time (hrs)]]/DUR</f>
        <v>1.4388489208633094E-2</v>
      </c>
      <c r="J11" s="9">
        <f>Instructions_Table[[#This Row],[O0]]+Instructions_Table[[#This Row],[Optimistic percentage]]</f>
        <v>2.8776978417266189E-2</v>
      </c>
      <c r="K11" s="20">
        <v>8</v>
      </c>
      <c r="L11" s="9">
        <f>LOOKUP(Instructions_Table[[#This Row],[Prereq]],Instructions_Table[Step],Instructions_Table[Mf])</f>
        <v>5.7553956834532377E-2</v>
      </c>
      <c r="M11" s="9">
        <f>Instructions_Table[[#This Row],[Most likely time (hrs)]]/DUR</f>
        <v>2.8776978417266189E-2</v>
      </c>
      <c r="N11" s="9">
        <f>Instructions_Table[[#This Row],[M0]]+Instructions_Table[[#This Row],[Most likely percentage]]</f>
        <v>8.6330935251798566E-2</v>
      </c>
      <c r="O11" s="12">
        <f>Instructions_Table[[#This Row],[Most likely percentage]]-Instructions_Table[[#This Row],[Optimistic percentage]]</f>
        <v>1.4388489208633094E-2</v>
      </c>
      <c r="P11" s="20">
        <v>16</v>
      </c>
      <c r="Q11" s="9">
        <f>LOOKUP(Instructions_Table[[#This Row],[Prereq]],Instructions_Table[Step],Instructions_Table[Pf])</f>
        <v>0.30575539568345322</v>
      </c>
      <c r="R11" s="9">
        <f>Instructions_Table[[#This Row],[Pessimistic time (hrs)]]/DUR</f>
        <v>5.7553956834532377E-2</v>
      </c>
      <c r="S11" s="9">
        <f>Instructions_Table[[#This Row],[P0]]+Instructions_Table[[#This Row],[Pessimistic percentage]]</f>
        <v>0.36330935251798557</v>
      </c>
      <c r="T11" s="13">
        <f>Instructions_Table[[#This Row],[Pessimistic percentage]]-Instructions_Table[[#This Row],[Most likely percentage]]</f>
        <v>2.8776978417266189E-2</v>
      </c>
      <c r="U11" s="11">
        <v>4</v>
      </c>
      <c r="V11" s="9">
        <f>Instructions_Table[[#This Row],[Optimistic time (hrs)]]/DUR</f>
        <v>1.4388489208633094E-2</v>
      </c>
      <c r="W11" s="19" t="s">
        <v>38</v>
      </c>
      <c r="X11" s="7">
        <v>0.5</v>
      </c>
      <c r="Y11" s="18">
        <v>4</v>
      </c>
      <c r="Z11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11" s="5">
        <f>Instructions_Table[[#This Row],[Total time calculated]]/DUR</f>
        <v>2.8776978417266189E-2</v>
      </c>
      <c r="AB11" s="5">
        <f>Instructions_Table[[#This Row],[A diff]]*Instructions_Table[[#This Row],[Actual percentage complete]]</f>
        <v>1.4388489208633094E-2</v>
      </c>
      <c r="AC11" s="5">
        <f>Instructions_Table[[#This Row],[A diff]]-Instructions_Table[[#This Row],[A dif done]]</f>
        <v>1.4388489208633094E-2</v>
      </c>
    </row>
    <row r="12" spans="1:29" x14ac:dyDescent="0.25">
      <c r="B12" s="14">
        <f>ROW(Instructions_Table[#This Row])-ROW(Instructions_Table[#Headers])-1+START</f>
        <v>3</v>
      </c>
      <c r="C12" s="21">
        <f>Instructions_Table[[#This Row],[Step]]/(MAX(Instructions_Table[Step])-MIN(Instructions_Table[Step])+1)</f>
        <v>0.12</v>
      </c>
      <c r="D12" s="17">
        <f>B10</f>
        <v>1</v>
      </c>
      <c r="E12" s="22">
        <f>Instructions_Table[[#This Row],[Prereq]]/B$34</f>
        <v>0.04</v>
      </c>
      <c r="F12" s="17" t="s">
        <v>35</v>
      </c>
      <c r="G12" s="20">
        <v>4</v>
      </c>
      <c r="H12" s="9">
        <f>LOOKUP(Instructions_Table[[#This Row],[Prereq]],Instructions_Table[Step],Instructions_Table[Of])</f>
        <v>1.4388489208633094E-2</v>
      </c>
      <c r="I12" s="9">
        <f>Instructions_Table[[#This Row],[Optimistic time (hrs)]]/DUR</f>
        <v>1.4388489208633094E-2</v>
      </c>
      <c r="J12" s="9">
        <f>Instructions_Table[[#This Row],[Optimistic percentage]]+Instructions_Table[[#This Row],[O0]]</f>
        <v>2.8776978417266189E-2</v>
      </c>
      <c r="K12" s="20">
        <v>8</v>
      </c>
      <c r="L12" s="9">
        <f>LOOKUP(Instructions_Table[[#This Row],[Prereq]],Instructions_Table[Step],Instructions_Table[Mf])</f>
        <v>5.7553956834532377E-2</v>
      </c>
      <c r="M12" s="9">
        <f>Instructions_Table[[#This Row],[Most likely time (hrs)]]/DUR</f>
        <v>2.8776978417266189E-2</v>
      </c>
      <c r="N12" s="9">
        <f>Instructions_Table[[#This Row],[M0]]+Instructions_Table[[#This Row],[Most likely percentage]]</f>
        <v>8.6330935251798566E-2</v>
      </c>
      <c r="O12" s="12">
        <f>Instructions_Table[[#This Row],[Most likely percentage]]-Instructions_Table[[#This Row],[Optimistic percentage]]</f>
        <v>1.4388489208633094E-2</v>
      </c>
      <c r="P12" s="20">
        <v>16</v>
      </c>
      <c r="Q12" s="9">
        <f>LOOKUP(Instructions_Table[[#This Row],[Prereq]],Instructions_Table[Step],Instructions_Table[Pf])</f>
        <v>0.30575539568345322</v>
      </c>
      <c r="R12" s="9">
        <f>Instructions_Table[[#This Row],[Pessimistic time (hrs)]]/DUR</f>
        <v>5.7553956834532377E-2</v>
      </c>
      <c r="S12" s="9">
        <f>Instructions_Table[[#This Row],[P0]]+Instructions_Table[[#This Row],[Pessimistic percentage]]</f>
        <v>0.36330935251798557</v>
      </c>
      <c r="T12" s="13">
        <f>Instructions_Table[[#This Row],[Pessimistic percentage]]-Instructions_Table[[#This Row],[Most likely percentage]]</f>
        <v>2.8776978417266189E-2</v>
      </c>
      <c r="U12" s="11">
        <v>4</v>
      </c>
      <c r="V12" s="9">
        <f>Instructions_Table[[#This Row],[Optimistic time (hrs)]]/DUR</f>
        <v>1.4388489208633094E-2</v>
      </c>
      <c r="W12" s="19" t="s">
        <v>38</v>
      </c>
      <c r="X12" s="7">
        <v>0.25</v>
      </c>
      <c r="Y12" s="18">
        <v>2</v>
      </c>
      <c r="Z12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12" s="5">
        <f>Instructions_Table[[#This Row],[Total time calculated]]/DUR</f>
        <v>2.8776978417266189E-2</v>
      </c>
      <c r="AB12" s="5">
        <f>Instructions_Table[[#This Row],[A diff]]*Instructions_Table[[#This Row],[Actual percentage complete]]</f>
        <v>7.1942446043165471E-3</v>
      </c>
      <c r="AC12" s="5">
        <f>Instructions_Table[[#This Row],[A diff]]-Instructions_Table[[#This Row],[A dif done]]</f>
        <v>2.1582733812949641E-2</v>
      </c>
    </row>
    <row r="13" spans="1:29" x14ac:dyDescent="0.25">
      <c r="B13" s="14">
        <f>ROW(Instructions_Table[#This Row])-ROW(Instructions_Table[#Headers])-1+START</f>
        <v>4</v>
      </c>
      <c r="C13" s="21">
        <f>Instructions_Table[[#This Row],[Step]]/(MAX(Instructions_Table[Step])-MIN(Instructions_Table[Step])+1)</f>
        <v>0.16</v>
      </c>
      <c r="D13" s="17">
        <f t="shared" ref="D13:D19" si="0">B12</f>
        <v>3</v>
      </c>
      <c r="E13" s="22">
        <f>Instructions_Table[[#This Row],[Prereq]]/B$34</f>
        <v>0.12</v>
      </c>
      <c r="F13" s="17" t="s">
        <v>8</v>
      </c>
      <c r="G13" s="20">
        <v>2</v>
      </c>
      <c r="H13" s="9">
        <f>LOOKUP(Instructions_Table[[#This Row],[Prereq]],Instructions_Table[Step],Instructions_Table[Of])</f>
        <v>2.8776978417266189E-2</v>
      </c>
      <c r="I13" s="9">
        <f>Instructions_Table[[#This Row],[Optimistic time (hrs)]]/DUR</f>
        <v>7.1942446043165471E-3</v>
      </c>
      <c r="J13" s="9">
        <f>Instructions_Table[[#This Row],[O0]]+Instructions_Table[[#This Row],[Optimistic percentage]]</f>
        <v>3.5971223021582732E-2</v>
      </c>
      <c r="K13" s="20">
        <v>4</v>
      </c>
      <c r="L13" s="9">
        <f>LOOKUP(Instructions_Table[[#This Row],[Prereq]],Instructions_Table[Step],Instructions_Table[Mf])</f>
        <v>8.6330935251798566E-2</v>
      </c>
      <c r="M13" s="9">
        <f>Instructions_Table[[#This Row],[Most likely time (hrs)]]/DUR</f>
        <v>1.4388489208633094E-2</v>
      </c>
      <c r="N13" s="9">
        <f>Instructions_Table[[#This Row],[M0]]+Instructions_Table[[#This Row],[Most likely percentage]]</f>
        <v>0.10071942446043167</v>
      </c>
      <c r="O13" s="12">
        <f>Instructions_Table[[#This Row],[Most likely percentage]]-Instructions_Table[[#This Row],[Optimistic percentage]]</f>
        <v>7.1942446043165471E-3</v>
      </c>
      <c r="P13" s="20">
        <v>8</v>
      </c>
      <c r="Q13" s="9">
        <f>LOOKUP(Instructions_Table[[#This Row],[Prereq]],Instructions_Table[Step],Instructions_Table[Pf])</f>
        <v>0.36330935251798557</v>
      </c>
      <c r="R13" s="9">
        <f>Instructions_Table[[#This Row],[Pessimistic time (hrs)]]/DUR</f>
        <v>2.8776978417266189E-2</v>
      </c>
      <c r="S13" s="9">
        <f>Instructions_Table[[#This Row],[P0]]+Instructions_Table[[#This Row],[Pessimistic percentage]]</f>
        <v>0.39208633093525175</v>
      </c>
      <c r="T13" s="13">
        <f>Instructions_Table[[#This Row],[Pessimistic percentage]]-Instructions_Table[[#This Row],[Most likely percentage]]</f>
        <v>1.4388489208633094E-2</v>
      </c>
      <c r="U13" s="11">
        <v>4</v>
      </c>
      <c r="V13" s="9">
        <f>Instructions_Table[[#This Row],[Optimistic time (hrs)]]/DUR</f>
        <v>7.1942446043165471E-3</v>
      </c>
      <c r="W13" s="19" t="s">
        <v>9</v>
      </c>
      <c r="X13" s="7">
        <v>1</v>
      </c>
      <c r="Y13" s="18">
        <v>4</v>
      </c>
      <c r="Z13" s="18">
        <f>IF(Instructions_Table[[#This Row],[Actual percentage complete]]&lt;&gt;0,Instructions_Table[[#This Row],[Actual time done]]/Instructions_Table[[#This Row],[Actual percentage complete]],Instructions_Table[[#This Row],[Most likely time (hrs)]])</f>
        <v>4</v>
      </c>
      <c r="AA13" s="5">
        <f>Instructions_Table[[#This Row],[Total time calculated]]/DUR</f>
        <v>1.4388489208633094E-2</v>
      </c>
      <c r="AB13" s="5">
        <f>Instructions_Table[[#This Row],[A diff]]*Instructions_Table[[#This Row],[Actual percentage complete]]</f>
        <v>1.4388489208633094E-2</v>
      </c>
      <c r="AC13" s="5">
        <f>Instructions_Table[[#This Row],[A diff]]-Instructions_Table[[#This Row],[A dif done]]</f>
        <v>0</v>
      </c>
    </row>
    <row r="14" spans="1:29" x14ac:dyDescent="0.25">
      <c r="B14" s="14">
        <f>ROW(Instructions_Table[#This Row])-ROW(Instructions_Table[#Headers])-1+START</f>
        <v>5</v>
      </c>
      <c r="C14" s="21">
        <f>Instructions_Table[[#This Row],[Step]]/(MAX(Instructions_Table[Step])-MIN(Instructions_Table[Step])+1)</f>
        <v>0.2</v>
      </c>
      <c r="D14">
        <f t="shared" si="0"/>
        <v>4</v>
      </c>
      <c r="E14" s="22">
        <f>Instructions_Table[[#This Row],[Prereq]]/B$34</f>
        <v>0.16</v>
      </c>
      <c r="F14" t="s">
        <v>7</v>
      </c>
      <c r="G14" s="20">
        <v>8</v>
      </c>
      <c r="H14" s="9">
        <f>LOOKUP(Instructions_Table[[#This Row],[Prereq]],Instructions_Table[Step],Instructions_Table[Of])</f>
        <v>3.5971223021582732E-2</v>
      </c>
      <c r="I14" s="9">
        <f>Instructions_Table[[#This Row],[Optimistic time (hrs)]]/DUR</f>
        <v>2.8776978417266189E-2</v>
      </c>
      <c r="J14" s="9">
        <f>Instructions_Table[[#This Row],[O0]]+Instructions_Table[[#This Row],[Optimistic percentage]]</f>
        <v>6.4748201438848921E-2</v>
      </c>
      <c r="K14" s="20">
        <v>12</v>
      </c>
      <c r="L14" s="9">
        <f>LOOKUP(Instructions_Table[[#This Row],[Prereq]],Instructions_Table[Step],Instructions_Table[Mf])</f>
        <v>0.10071942446043167</v>
      </c>
      <c r="M14" s="9">
        <f>Instructions_Table[[#This Row],[Most likely time (hrs)]]/DUR</f>
        <v>4.3165467625899283E-2</v>
      </c>
      <c r="N14" s="9">
        <f>Instructions_Table[[#This Row],[M0]]+Instructions_Table[[#This Row],[Most likely percentage]]</f>
        <v>0.14388489208633096</v>
      </c>
      <c r="O14" s="13">
        <f>Instructions_Table[[#This Row],[Most likely percentage]]-Instructions_Table[[#This Row],[Optimistic percentage]]</f>
        <v>1.4388489208633094E-2</v>
      </c>
      <c r="P14" s="20">
        <v>40</v>
      </c>
      <c r="Q14" s="9">
        <f>LOOKUP(Instructions_Table[[#This Row],[Prereq]],Instructions_Table[Step],Instructions_Table[Pf])</f>
        <v>0.39208633093525175</v>
      </c>
      <c r="R14" s="9">
        <f>Instructions_Table[[#This Row],[Pessimistic time (hrs)]]/DUR</f>
        <v>0.14388489208633093</v>
      </c>
      <c r="S14" s="9">
        <f>Instructions_Table[[#This Row],[P0]]+Instructions_Table[[#This Row],[Pessimistic percentage]]</f>
        <v>0.53597122302158273</v>
      </c>
      <c r="T14" s="13">
        <f>Instructions_Table[[#This Row],[Pessimistic percentage]]-Instructions_Table[[#This Row],[Most likely percentage]]</f>
        <v>0.10071942446043164</v>
      </c>
      <c r="U14" s="11">
        <v>4</v>
      </c>
      <c r="V14" s="9">
        <f>Instructions_Table[[#This Row],[Optimistic time (hrs)]]/DUR</f>
        <v>2.8776978417266189E-2</v>
      </c>
      <c r="W14" s="6" t="s">
        <v>13</v>
      </c>
      <c r="X14" s="7"/>
      <c r="Y14" s="18"/>
      <c r="Z14" s="18">
        <f>IF(Instructions_Table[[#This Row],[Actual percentage complete]]&lt;&gt;0,Instructions_Table[[#This Row],[Actual time done]]/Instructions_Table[[#This Row],[Actual percentage complete]],Instructions_Table[[#This Row],[Most likely time (hrs)]])</f>
        <v>12</v>
      </c>
      <c r="AA14" s="5">
        <f>Instructions_Table[[#This Row],[Total time calculated]]/DUR</f>
        <v>4.3165467625899283E-2</v>
      </c>
      <c r="AB14" s="5">
        <f>Instructions_Table[[#This Row],[A diff]]*Instructions_Table[[#This Row],[Actual percentage complete]]</f>
        <v>0</v>
      </c>
      <c r="AC14" s="5">
        <f>Instructions_Table[[#This Row],[A diff]]-Instructions_Table[[#This Row],[A dif done]]</f>
        <v>4.3165467625899283E-2</v>
      </c>
    </row>
    <row r="15" spans="1:29" x14ac:dyDescent="0.25">
      <c r="B15" s="14">
        <f>ROW(Instructions_Table[#This Row])-ROW(Instructions_Table[#Headers])-1+START</f>
        <v>6</v>
      </c>
      <c r="C15" s="21">
        <f>Instructions_Table[[#This Row],[Step]]/(MAX(Instructions_Table[Step])-MIN(Instructions_Table[Step])+1)</f>
        <v>0.24</v>
      </c>
      <c r="D15">
        <f t="shared" si="0"/>
        <v>5</v>
      </c>
      <c r="E15" s="22">
        <f>Instructions_Table[[#This Row],[Prereq]]/B$34</f>
        <v>0.2</v>
      </c>
      <c r="F15" s="2" t="s">
        <v>11</v>
      </c>
      <c r="G15" s="20">
        <v>16</v>
      </c>
      <c r="H15" s="9">
        <f>LOOKUP(Instructions_Table[[#This Row],[Prereq]],Instructions_Table[Step],Instructions_Table[Of])</f>
        <v>6.4748201438848921E-2</v>
      </c>
      <c r="I15" s="9">
        <f>Instructions_Table[[#This Row],[Optimistic time (hrs)]]/DUR</f>
        <v>5.7553956834532377E-2</v>
      </c>
      <c r="J15" s="9">
        <f>Instructions_Table[[#This Row],[O0]]+Instructions_Table[[#This Row],[Optimistic percentage]]</f>
        <v>0.1223021582733813</v>
      </c>
      <c r="K15" s="20">
        <v>24</v>
      </c>
      <c r="L15" s="9">
        <f>LOOKUP(Instructions_Table[[#This Row],[Prereq]],Instructions_Table[Step],Instructions_Table[Mf])</f>
        <v>0.14388489208633096</v>
      </c>
      <c r="M15" s="9">
        <f>Instructions_Table[[#This Row],[Most likely time (hrs)]]/DUR</f>
        <v>8.6330935251798566E-2</v>
      </c>
      <c r="N15" s="9">
        <f>Instructions_Table[[#This Row],[M0]]+Instructions_Table[[#This Row],[Most likely percentage]]</f>
        <v>0.23021582733812951</v>
      </c>
      <c r="O15" s="13">
        <f>Instructions_Table[[#This Row],[Most likely percentage]]-Instructions_Table[[#This Row],[Optimistic percentage]]</f>
        <v>2.8776978417266189E-2</v>
      </c>
      <c r="P15" s="20">
        <v>40</v>
      </c>
      <c r="Q15" s="9">
        <f>LOOKUP(Instructions_Table[[#This Row],[Prereq]],Instructions_Table[Step],Instructions_Table[Pf])</f>
        <v>0.53597122302158273</v>
      </c>
      <c r="R15" s="9">
        <f>Instructions_Table[[#This Row],[Pessimistic time (hrs)]]/DUR</f>
        <v>0.14388489208633093</v>
      </c>
      <c r="S15" s="9">
        <f>Instructions_Table[[#This Row],[P0]]+Instructions_Table[[#This Row],[Pessimistic percentage]]</f>
        <v>0.67985611510791366</v>
      </c>
      <c r="T15" s="13">
        <f>Instructions_Table[[#This Row],[Pessimistic percentage]]-Instructions_Table[[#This Row],[Most likely percentage]]</f>
        <v>5.7553956834532363E-2</v>
      </c>
      <c r="U15" s="11">
        <v>4</v>
      </c>
      <c r="V15" s="9">
        <f>Instructions_Table[[#This Row],[Optimistic time (hrs)]]/DUR</f>
        <v>5.7553956834532377E-2</v>
      </c>
      <c r="W15" s="6" t="s">
        <v>13</v>
      </c>
      <c r="X15" s="7"/>
      <c r="Y15" s="18"/>
      <c r="Z15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15" s="5">
        <f>Instructions_Table[[#This Row],[Total time calculated]]/DUR</f>
        <v>8.6330935251798566E-2</v>
      </c>
      <c r="AB15" s="5">
        <f>Instructions_Table[[#This Row],[A diff]]*Instructions_Table[[#This Row],[Actual percentage complete]]</f>
        <v>0</v>
      </c>
      <c r="AC15" s="5">
        <f>Instructions_Table[[#This Row],[A diff]]-Instructions_Table[[#This Row],[A dif done]]</f>
        <v>8.6330935251798566E-2</v>
      </c>
    </row>
    <row r="16" spans="1:29" x14ac:dyDescent="0.25">
      <c r="B16" s="14">
        <f>ROW(Instructions_Table[#This Row])-ROW(Instructions_Table[#Headers])-1+START</f>
        <v>7</v>
      </c>
      <c r="C16" s="21">
        <f>Instructions_Table[[#This Row],[Step]]/(MAX(Instructions_Table[Step])-MIN(Instructions_Table[Step])+1)</f>
        <v>0.28000000000000003</v>
      </c>
      <c r="D16">
        <f t="shared" si="0"/>
        <v>6</v>
      </c>
      <c r="E16" s="22">
        <f>Instructions_Table[[#This Row],[Prereq]]/B$34</f>
        <v>0.24</v>
      </c>
      <c r="F16" s="2" t="s">
        <v>12</v>
      </c>
      <c r="G16" s="20">
        <v>36</v>
      </c>
      <c r="H16" s="9">
        <f>LOOKUP(Instructions_Table[[#This Row],[Prereq]],Instructions_Table[Step],Instructions_Table[Of])</f>
        <v>0.1223021582733813</v>
      </c>
      <c r="I16" s="9">
        <f>Instructions_Table[[#This Row],[Optimistic time (hrs)]]/DUR</f>
        <v>0.12949640287769784</v>
      </c>
      <c r="J16" s="9">
        <f>Instructions_Table[[#This Row],[O0]]+Instructions_Table[[#This Row],[Optimistic percentage]]</f>
        <v>0.25179856115107913</v>
      </c>
      <c r="K16" s="20">
        <v>48</v>
      </c>
      <c r="L16" s="9">
        <f>LOOKUP(Instructions_Table[[#This Row],[Prereq]],Instructions_Table[Step],Instructions_Table[Mf])</f>
        <v>0.23021582733812951</v>
      </c>
      <c r="M16" s="9">
        <f>Instructions_Table[[#This Row],[Most likely time (hrs)]]/DUR</f>
        <v>0.17266187050359713</v>
      </c>
      <c r="N16" s="9">
        <f>Instructions_Table[[#This Row],[M0]]+Instructions_Table[[#This Row],[Most likely percentage]]</f>
        <v>0.40287769784172667</v>
      </c>
      <c r="O16" s="13">
        <f>Instructions_Table[[#This Row],[Most likely percentage]]-Instructions_Table[[#This Row],[Optimistic percentage]]</f>
        <v>4.316546762589929E-2</v>
      </c>
      <c r="P16" s="20">
        <v>72</v>
      </c>
      <c r="Q16" s="9">
        <f>LOOKUP(Instructions_Table[[#This Row],[Prereq]],Instructions_Table[Step],Instructions_Table[Pf])</f>
        <v>0.67985611510791366</v>
      </c>
      <c r="R16" s="9">
        <f>Instructions_Table[[#This Row],[Pessimistic time (hrs)]]/DUR</f>
        <v>0.25899280575539568</v>
      </c>
      <c r="S16" s="9">
        <f>Instructions_Table[[#This Row],[P0]]+Instructions_Table[[#This Row],[Pessimistic percentage]]</f>
        <v>0.93884892086330929</v>
      </c>
      <c r="T16" s="13">
        <f>Instructions_Table[[#This Row],[Pessimistic percentage]]-Instructions_Table[[#This Row],[Most likely percentage]]</f>
        <v>8.6330935251798552E-2</v>
      </c>
      <c r="U16" s="11">
        <v>4</v>
      </c>
      <c r="V16" s="9">
        <f>Instructions_Table[[#This Row],[Optimistic time (hrs)]]/DUR</f>
        <v>0.12949640287769784</v>
      </c>
      <c r="W16" s="6" t="s">
        <v>4</v>
      </c>
      <c r="X16" s="7">
        <v>0.5</v>
      </c>
      <c r="Y16" s="18">
        <v>24</v>
      </c>
      <c r="Z16" s="18">
        <f>IF(Instructions_Table[[#This Row],[Actual percentage complete]]&lt;&gt;0,Instructions_Table[[#This Row],[Actual time done]]/Instructions_Table[[#This Row],[Actual percentage complete]],Instructions_Table[[#This Row],[Most likely time (hrs)]])</f>
        <v>48</v>
      </c>
      <c r="AA16" s="5">
        <f>Instructions_Table[[#This Row],[Total time calculated]]/DUR</f>
        <v>0.17266187050359713</v>
      </c>
      <c r="AB16" s="5">
        <f>Instructions_Table[[#This Row],[A diff]]*Instructions_Table[[#This Row],[Actual percentage complete]]</f>
        <v>8.6330935251798566E-2</v>
      </c>
      <c r="AC16" s="5">
        <f>Instructions_Table[[#This Row],[A diff]]-Instructions_Table[[#This Row],[A dif done]]</f>
        <v>8.6330935251798566E-2</v>
      </c>
    </row>
    <row r="17" spans="2:29" x14ac:dyDescent="0.25">
      <c r="B17" s="14">
        <f>ROW(Instructions_Table[#This Row])-ROW(Instructions_Table[#Headers])-1+START</f>
        <v>8</v>
      </c>
      <c r="C17" s="21">
        <f>Instructions_Table[[#This Row],[Step]]/(MAX(Instructions_Table[Step])-MIN(Instructions_Table[Step])+1)</f>
        <v>0.32</v>
      </c>
      <c r="D17">
        <f t="shared" si="0"/>
        <v>7</v>
      </c>
      <c r="E17" s="22">
        <f>Instructions_Table[[#This Row],[Prereq]]/B$34</f>
        <v>0.28000000000000003</v>
      </c>
      <c r="F17" s="2" t="s">
        <v>17</v>
      </c>
      <c r="G17" s="20">
        <v>24</v>
      </c>
      <c r="H17" s="9">
        <f>LOOKUP(Instructions_Table[[#This Row],[Prereq]],Instructions_Table[Step],Instructions_Table[Of])</f>
        <v>0.25179856115107913</v>
      </c>
      <c r="I17" s="9">
        <f>Instructions_Table[[#This Row],[Optimistic time (hrs)]]/DUR</f>
        <v>8.6330935251798566E-2</v>
      </c>
      <c r="J17" s="9">
        <f>Instructions_Table[[#This Row],[O0]]+Instructions_Table[[#This Row],[Optimistic percentage]]</f>
        <v>0.33812949640287771</v>
      </c>
      <c r="K17" s="20">
        <v>40</v>
      </c>
      <c r="L17" s="9">
        <f>LOOKUP(Instructions_Table[[#This Row],[Prereq]],Instructions_Table[Step],Instructions_Table[Mf])</f>
        <v>0.40287769784172667</v>
      </c>
      <c r="M17" s="9">
        <f>Instructions_Table[[#This Row],[Most likely time (hrs)]]/DUR</f>
        <v>0.14388489208633093</v>
      </c>
      <c r="N17" s="9">
        <f>Instructions_Table[[#This Row],[M0]]+Instructions_Table[[#This Row],[Most likely percentage]]</f>
        <v>0.5467625899280576</v>
      </c>
      <c r="O17" s="13">
        <f>Instructions_Table[[#This Row],[Most likely percentage]]-Instructions_Table[[#This Row],[Optimistic percentage]]</f>
        <v>5.7553956834532363E-2</v>
      </c>
      <c r="P17" s="20">
        <v>48</v>
      </c>
      <c r="Q17" s="9">
        <f>LOOKUP(Instructions_Table[[#This Row],[Prereq]],Instructions_Table[Step],Instructions_Table[Pf])</f>
        <v>0.93884892086330929</v>
      </c>
      <c r="R17" s="9">
        <f>Instructions_Table[[#This Row],[Pessimistic time (hrs)]]/DUR</f>
        <v>0.17266187050359713</v>
      </c>
      <c r="S17" s="9">
        <f>Instructions_Table[[#This Row],[P0]]+Instructions_Table[[#This Row],[Pessimistic percentage]]</f>
        <v>1.1115107913669064</v>
      </c>
      <c r="T17" s="13">
        <f>Instructions_Table[[#This Row],[Pessimistic percentage]]-Instructions_Table[[#This Row],[Most likely percentage]]</f>
        <v>2.8776978417266202E-2</v>
      </c>
      <c r="U17" s="11">
        <v>4</v>
      </c>
      <c r="V17" s="9">
        <f>Instructions_Table[[#This Row],[Optimistic time (hrs)]]/DUR</f>
        <v>8.6330935251798566E-2</v>
      </c>
      <c r="W17" s="6" t="s">
        <v>13</v>
      </c>
      <c r="X17" s="7"/>
      <c r="Y17" s="18"/>
      <c r="Z17" s="18">
        <f>IF(Instructions_Table[[#This Row],[Actual percentage complete]]&lt;&gt;0,Instructions_Table[[#This Row],[Actual time done]]/Instructions_Table[[#This Row],[Actual percentage complete]],Instructions_Table[[#This Row],[Most likely time (hrs)]])</f>
        <v>40</v>
      </c>
      <c r="AA17" s="5">
        <f>Instructions_Table[[#This Row],[Total time calculated]]/DUR</f>
        <v>0.14388489208633093</v>
      </c>
      <c r="AB17" s="5">
        <f>Instructions_Table[[#This Row],[A diff]]*Instructions_Table[[#This Row],[Actual percentage complete]]</f>
        <v>0</v>
      </c>
      <c r="AC17" s="5">
        <f>Instructions_Table[[#This Row],[A diff]]-Instructions_Table[[#This Row],[A dif done]]</f>
        <v>0.14388489208633093</v>
      </c>
    </row>
    <row r="18" spans="2:29" x14ac:dyDescent="0.25">
      <c r="B18" s="14">
        <f>ROW(Instructions_Table[#This Row])-ROW(Instructions_Table[#Headers])-1+START</f>
        <v>9</v>
      </c>
      <c r="C18" s="21">
        <f>Instructions_Table[[#This Row],[Step]]/(MAX(Instructions_Table[Step])-MIN(Instructions_Table[Step])+1)</f>
        <v>0.36</v>
      </c>
      <c r="D18">
        <f t="shared" si="0"/>
        <v>8</v>
      </c>
      <c r="E18" s="22">
        <f>Instructions_Table[[#This Row],[Prereq]]/B$34</f>
        <v>0.32</v>
      </c>
      <c r="F18" t="s">
        <v>16</v>
      </c>
      <c r="G18" s="20">
        <v>16</v>
      </c>
      <c r="H18" s="9">
        <f>LOOKUP(Instructions_Table[[#This Row],[Prereq]],Instructions_Table[Step],Instructions_Table[Of])</f>
        <v>0.33812949640287771</v>
      </c>
      <c r="I18" s="9">
        <f>Instructions_Table[[#This Row],[Optimistic time (hrs)]]/DUR</f>
        <v>5.7553956834532377E-2</v>
      </c>
      <c r="J18" s="9">
        <f>Instructions_Table[[#This Row],[O0]]+Instructions_Table[[#This Row],[Optimistic percentage]]</f>
        <v>0.39568345323741005</v>
      </c>
      <c r="K18" s="20">
        <v>36</v>
      </c>
      <c r="L18" s="9">
        <f>LOOKUP(Instructions_Table[[#This Row],[Prereq]],Instructions_Table[Step],Instructions_Table[Mf])</f>
        <v>0.5467625899280576</v>
      </c>
      <c r="M18" s="9">
        <f>Instructions_Table[[#This Row],[Most likely time (hrs)]]/DUR</f>
        <v>0.12949640287769784</v>
      </c>
      <c r="N18" s="9">
        <f>Instructions_Table[[#This Row],[M0]]+Instructions_Table[[#This Row],[Most likely percentage]]</f>
        <v>0.67625899280575541</v>
      </c>
      <c r="O18" s="13">
        <f>Instructions_Table[[#This Row],[Most likely percentage]]-Instructions_Table[[#This Row],[Optimistic percentage]]</f>
        <v>7.1942446043165464E-2</v>
      </c>
      <c r="P18" s="20">
        <v>48</v>
      </c>
      <c r="Q18" s="9">
        <f>LOOKUP(Instructions_Table[[#This Row],[Prereq]],Instructions_Table[Step],Instructions_Table[Pf])</f>
        <v>1.1115107913669064</v>
      </c>
      <c r="R18" s="9">
        <f>Instructions_Table[[#This Row],[Pessimistic time (hrs)]]/DUR</f>
        <v>0.17266187050359713</v>
      </c>
      <c r="S18" s="9">
        <f>Instructions_Table[[#This Row],[P0]]+Instructions_Table[[#This Row],[Pessimistic percentage]]</f>
        <v>1.2841726618705036</v>
      </c>
      <c r="T18" s="13">
        <f>Instructions_Table[[#This Row],[Pessimistic percentage]]-Instructions_Table[[#This Row],[Most likely percentage]]</f>
        <v>4.316546762589929E-2</v>
      </c>
      <c r="U18" s="11">
        <v>4</v>
      </c>
      <c r="V18" s="9">
        <f>Instructions_Table[[#This Row],[Optimistic time (hrs)]]/DUR</f>
        <v>5.7553956834532377E-2</v>
      </c>
      <c r="W18" s="6" t="s">
        <v>13</v>
      </c>
      <c r="X18" s="7"/>
      <c r="Y18" s="18"/>
      <c r="Z18" s="18">
        <f>IF(Instructions_Table[[#This Row],[Actual percentage complete]]&lt;&gt;0,Instructions_Table[[#This Row],[Actual time done]]/Instructions_Table[[#This Row],[Actual percentage complete]],Instructions_Table[[#This Row],[Most likely time (hrs)]])</f>
        <v>36</v>
      </c>
      <c r="AA18" s="5">
        <f>Instructions_Table[[#This Row],[Total time calculated]]/DUR</f>
        <v>0.12949640287769784</v>
      </c>
      <c r="AB18" s="5">
        <f>Instructions_Table[[#This Row],[A diff]]*Instructions_Table[[#This Row],[Actual percentage complete]]</f>
        <v>0</v>
      </c>
      <c r="AC18" s="5">
        <f>Instructions_Table[[#This Row],[A diff]]-Instructions_Table[[#This Row],[A dif done]]</f>
        <v>0.12949640287769784</v>
      </c>
    </row>
    <row r="19" spans="2:29" x14ac:dyDescent="0.25">
      <c r="B19" s="14">
        <f>ROW(Instructions_Table[#This Row])-ROW(Instructions_Table[#Headers])-1+START</f>
        <v>10</v>
      </c>
      <c r="C19" s="21">
        <f>Instructions_Table[[#This Row],[Step]]/(MAX(Instructions_Table[Step])-MIN(Instructions_Table[Step])+1)</f>
        <v>0.4</v>
      </c>
      <c r="D19">
        <f t="shared" si="0"/>
        <v>9</v>
      </c>
      <c r="E19" s="22">
        <f>Instructions_Table[[#This Row],[Prereq]]/B$34</f>
        <v>0.36</v>
      </c>
      <c r="F19" t="s">
        <v>19</v>
      </c>
      <c r="G19" s="20">
        <v>16</v>
      </c>
      <c r="H19" s="9">
        <f>LOOKUP(Instructions_Table[[#This Row],[Prereq]],Instructions_Table[Step],Instructions_Table[Of])</f>
        <v>0.39568345323741005</v>
      </c>
      <c r="I19" s="9">
        <f>Instructions_Table[[#This Row],[Optimistic time (hrs)]]/DUR</f>
        <v>5.7553956834532377E-2</v>
      </c>
      <c r="J19" s="9">
        <f>Instructions_Table[[#This Row],[O0]]+Instructions_Table[[#This Row],[Optimistic percentage]]</f>
        <v>0.4532374100719424</v>
      </c>
      <c r="K19" s="20">
        <v>32</v>
      </c>
      <c r="L19" s="9">
        <f>LOOKUP(Instructions_Table[[#This Row],[Prereq]],Instructions_Table[Step],Instructions_Table[Mf])</f>
        <v>0.67625899280575541</v>
      </c>
      <c r="M19" s="9">
        <f>Instructions_Table[[#This Row],[Most likely time (hrs)]]/DUR</f>
        <v>0.11510791366906475</v>
      </c>
      <c r="N19" s="9">
        <f>Instructions_Table[[#This Row],[M0]]+Instructions_Table[[#This Row],[Most likely percentage]]</f>
        <v>0.79136690647482011</v>
      </c>
      <c r="O19" s="13">
        <f>Instructions_Table[[#This Row],[Most likely percentage]]-Instructions_Table[[#This Row],[Optimistic percentage]]</f>
        <v>5.7553956834532377E-2</v>
      </c>
      <c r="P19" s="20">
        <v>40</v>
      </c>
      <c r="Q19" s="9">
        <f>LOOKUP(Instructions_Table[[#This Row],[Prereq]],Instructions_Table[Step],Instructions_Table[Pf])</f>
        <v>1.2841726618705036</v>
      </c>
      <c r="R19" s="9">
        <f>Instructions_Table[[#This Row],[Pessimistic time (hrs)]]/DUR</f>
        <v>0.14388489208633093</v>
      </c>
      <c r="S19" s="9">
        <f>Instructions_Table[[#This Row],[P0]]+Instructions_Table[[#This Row],[Pessimistic percentage]]</f>
        <v>1.4280575539568345</v>
      </c>
      <c r="T19" s="13">
        <f>Instructions_Table[[#This Row],[Pessimistic percentage]]-Instructions_Table[[#This Row],[Most likely percentage]]</f>
        <v>2.8776978417266175E-2</v>
      </c>
      <c r="U19" s="11">
        <v>4</v>
      </c>
      <c r="V19" s="9">
        <f>Instructions_Table[[#This Row],[Optimistic time (hrs)]]/DUR</f>
        <v>5.7553956834532377E-2</v>
      </c>
      <c r="W19" s="6" t="s">
        <v>13</v>
      </c>
      <c r="X19" s="7"/>
      <c r="Y19" s="18"/>
      <c r="Z19" s="18">
        <f>IF(Instructions_Table[[#This Row],[Actual percentage complete]]&lt;&gt;0,Instructions_Table[[#This Row],[Actual time done]]/Instructions_Table[[#This Row],[Actual percentage complete]],Instructions_Table[[#This Row],[Most likely time (hrs)]])</f>
        <v>32</v>
      </c>
      <c r="AA19" s="5">
        <f>Instructions_Table[[#This Row],[Total time calculated]]/DUR</f>
        <v>0.11510791366906475</v>
      </c>
      <c r="AB19" s="5">
        <f>Instructions_Table[[#This Row],[A diff]]*Instructions_Table[[#This Row],[Actual percentage complete]]</f>
        <v>0</v>
      </c>
      <c r="AC19" s="5">
        <f>Instructions_Table[[#This Row],[A diff]]-Instructions_Table[[#This Row],[A dif done]]</f>
        <v>0.11510791366906475</v>
      </c>
    </row>
    <row r="20" spans="2:29" x14ac:dyDescent="0.25">
      <c r="B20" s="14">
        <f>ROW(Instructions_Table[#This Row])-ROW(Instructions_Table[#Headers])-1+START</f>
        <v>11</v>
      </c>
      <c r="C20" s="21">
        <f>Instructions_Table[[#This Row],[Step]]/(MAX(Instructions_Table[Step])-MIN(Instructions_Table[Step])+1)</f>
        <v>0.44</v>
      </c>
      <c r="D20">
        <f>B18</f>
        <v>9</v>
      </c>
      <c r="E20" s="22">
        <f>Instructions_Table[[#This Row],[Prereq]]/B$34</f>
        <v>0.36</v>
      </c>
      <c r="F20" t="s">
        <v>18</v>
      </c>
      <c r="G20" s="20">
        <v>24</v>
      </c>
      <c r="H20" s="9">
        <f>LOOKUP(Instructions_Table[[#This Row],[Prereq]],Instructions_Table[Step],Instructions_Table[Of])</f>
        <v>0.39568345323741005</v>
      </c>
      <c r="I20" s="9">
        <f>Instructions_Table[[#This Row],[Optimistic time (hrs)]]/DUR</f>
        <v>8.6330935251798566E-2</v>
      </c>
      <c r="J20" s="9">
        <f>Instructions_Table[[#This Row],[O0]]+Instructions_Table[[#This Row],[Optimistic percentage]]</f>
        <v>0.48201438848920863</v>
      </c>
      <c r="K20" s="20">
        <v>36</v>
      </c>
      <c r="L20" s="9">
        <f>LOOKUP(Instructions_Table[[#This Row],[Prereq]],Instructions_Table[Step],Instructions_Table[Mf])</f>
        <v>0.67625899280575541</v>
      </c>
      <c r="M20" s="9">
        <f>Instructions_Table[[#This Row],[Most likely time (hrs)]]/DUR</f>
        <v>0.12949640287769784</v>
      </c>
      <c r="N20" s="9">
        <f>Instructions_Table[[#This Row],[M0]]+Instructions_Table[[#This Row],[Most likely percentage]]</f>
        <v>0.80575539568345322</v>
      </c>
      <c r="O20" s="13">
        <f>Instructions_Table[[#This Row],[Most likely percentage]]-Instructions_Table[[#This Row],[Optimistic percentage]]</f>
        <v>4.3165467625899276E-2</v>
      </c>
      <c r="P20" s="20">
        <v>40</v>
      </c>
      <c r="Q20" s="9">
        <f>LOOKUP(Instructions_Table[[#This Row],[Prereq]],Instructions_Table[Step],Instructions_Table[Pf])</f>
        <v>1.2841726618705036</v>
      </c>
      <c r="R20" s="9">
        <f>Instructions_Table[[#This Row],[Pessimistic time (hrs)]]/DUR</f>
        <v>0.14388489208633093</v>
      </c>
      <c r="S20" s="9">
        <f>Instructions_Table[[#This Row],[P0]]+Instructions_Table[[#This Row],[Pessimistic percentage]]</f>
        <v>1.4280575539568345</v>
      </c>
      <c r="T20" s="13">
        <f>Instructions_Table[[#This Row],[Pessimistic percentage]]-Instructions_Table[[#This Row],[Most likely percentage]]</f>
        <v>1.4388489208633087E-2</v>
      </c>
      <c r="U20" s="11">
        <v>4</v>
      </c>
      <c r="V20" s="9">
        <f>Instructions_Table[[#This Row],[Optimistic time (hrs)]]/DUR</f>
        <v>8.6330935251798566E-2</v>
      </c>
      <c r="W20" s="6" t="s">
        <v>13</v>
      </c>
      <c r="X20" s="7"/>
      <c r="Y20" s="18"/>
      <c r="Z20" s="18">
        <f>IF(Instructions_Table[[#This Row],[Actual percentage complete]]&lt;&gt;0,Instructions_Table[[#This Row],[Actual time done]]/Instructions_Table[[#This Row],[Actual percentage complete]],Instructions_Table[[#This Row],[Most likely time (hrs)]])</f>
        <v>36</v>
      </c>
      <c r="AA20" s="5">
        <f>Instructions_Table[[#This Row],[Total time calculated]]/DUR</f>
        <v>0.12949640287769784</v>
      </c>
      <c r="AB20" s="5">
        <f>Instructions_Table[[#This Row],[A diff]]*Instructions_Table[[#This Row],[Actual percentage complete]]</f>
        <v>0</v>
      </c>
      <c r="AC20" s="5">
        <f>Instructions_Table[[#This Row],[A diff]]-Instructions_Table[[#This Row],[A dif done]]</f>
        <v>0.12949640287769784</v>
      </c>
    </row>
    <row r="21" spans="2:29" x14ac:dyDescent="0.25">
      <c r="B21" s="14">
        <f>ROW(Instructions_Table[#This Row])-ROW(Instructions_Table[#Headers])-1+START</f>
        <v>12</v>
      </c>
      <c r="C21" s="21">
        <f>Instructions_Table[[#This Row],[Step]]/(MAX(Instructions_Table[Step])-MIN(Instructions_Table[Step])+1)</f>
        <v>0.48</v>
      </c>
      <c r="D21">
        <f>B19</f>
        <v>10</v>
      </c>
      <c r="E21" s="22">
        <f>Instructions_Table[[#This Row],[Prereq]]/B$34</f>
        <v>0.4</v>
      </c>
      <c r="F21" t="s">
        <v>20</v>
      </c>
      <c r="G21" s="20">
        <v>16</v>
      </c>
      <c r="H21" s="9">
        <f>LOOKUP(Instructions_Table[[#This Row],[Prereq]],Instructions_Table[Step],Instructions_Table[Of])</f>
        <v>0.4532374100719424</v>
      </c>
      <c r="I21" s="9">
        <f>Instructions_Table[[#This Row],[Optimistic time (hrs)]]/DUR</f>
        <v>5.7553956834532377E-2</v>
      </c>
      <c r="J21" s="9">
        <f>Instructions_Table[[#This Row],[O0]]+Instructions_Table[[#This Row],[Optimistic percentage]]</f>
        <v>0.51079136690647475</v>
      </c>
      <c r="K21" s="20">
        <v>24</v>
      </c>
      <c r="L21" s="9">
        <f>LOOKUP(Instructions_Table[[#This Row],[Prereq]],Instructions_Table[Step],Instructions_Table[Mf])</f>
        <v>0.79136690647482011</v>
      </c>
      <c r="M21" s="9">
        <f>Instructions_Table[[#This Row],[Most likely time (hrs)]]/DUR</f>
        <v>8.6330935251798566E-2</v>
      </c>
      <c r="N21" s="9">
        <f>Instructions_Table[[#This Row],[M0]]+Instructions_Table[[#This Row],[Most likely percentage]]</f>
        <v>0.87769784172661869</v>
      </c>
      <c r="O21" s="13">
        <f>Instructions_Table[[#This Row],[Most likely percentage]]-Instructions_Table[[#This Row],[Optimistic percentage]]</f>
        <v>2.8776978417266189E-2</v>
      </c>
      <c r="P21" s="20">
        <v>36</v>
      </c>
      <c r="Q21" s="9">
        <f>LOOKUP(Instructions_Table[[#This Row],[Prereq]],Instructions_Table[Step],Instructions_Table[Pf])</f>
        <v>1.4280575539568345</v>
      </c>
      <c r="R21" s="9">
        <f>Instructions_Table[[#This Row],[Pessimistic time (hrs)]]/DUR</f>
        <v>0.12949640287769784</v>
      </c>
      <c r="S21" s="9">
        <f>Instructions_Table[[#This Row],[P0]]+Instructions_Table[[#This Row],[Pessimistic percentage]]</f>
        <v>1.5575539568345325</v>
      </c>
      <c r="T21" s="13">
        <f>Instructions_Table[[#This Row],[Pessimistic percentage]]-Instructions_Table[[#This Row],[Most likely percentage]]</f>
        <v>4.3165467625899276E-2</v>
      </c>
      <c r="U21" s="11">
        <v>4</v>
      </c>
      <c r="V21" s="9">
        <f>Instructions_Table[[#This Row],[Optimistic time (hrs)]]/DUR</f>
        <v>5.7553956834532377E-2</v>
      </c>
      <c r="W21" s="6" t="s">
        <v>13</v>
      </c>
      <c r="X21" s="7"/>
      <c r="Y21" s="18"/>
      <c r="Z21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21" s="5">
        <f>Instructions_Table[[#This Row],[Total time calculated]]/DUR</f>
        <v>8.6330935251798566E-2</v>
      </c>
      <c r="AB21" s="5">
        <f>Instructions_Table[[#This Row],[A diff]]*Instructions_Table[[#This Row],[Actual percentage complete]]</f>
        <v>0</v>
      </c>
      <c r="AC21" s="5">
        <f>Instructions_Table[[#This Row],[A diff]]-Instructions_Table[[#This Row],[A dif done]]</f>
        <v>8.6330935251798566E-2</v>
      </c>
    </row>
    <row r="22" spans="2:29" x14ac:dyDescent="0.25">
      <c r="B22" s="14">
        <f>ROW(Instructions_Table[#This Row])-ROW(Instructions_Table[#Headers])-1+START</f>
        <v>13</v>
      </c>
      <c r="C22" s="21">
        <f>Instructions_Table[[#This Row],[Step]]/(MAX(Instructions_Table[Step])-MIN(Instructions_Table[Step])+1)</f>
        <v>0.52</v>
      </c>
      <c r="D22">
        <f>B21</f>
        <v>12</v>
      </c>
      <c r="E22" s="22">
        <f>Instructions_Table[[#This Row],[Prereq]]/B$34</f>
        <v>0.48</v>
      </c>
      <c r="F22" s="2" t="s">
        <v>6</v>
      </c>
      <c r="G22" s="20">
        <v>24</v>
      </c>
      <c r="H22" s="9">
        <f>LOOKUP(Instructions_Table[[#This Row],[Prereq]],Instructions_Table[Step],Instructions_Table[Of])</f>
        <v>0.51079136690647475</v>
      </c>
      <c r="I22" s="9">
        <f>Instructions_Table[[#This Row],[Optimistic time (hrs)]]/DUR</f>
        <v>8.6330935251798566E-2</v>
      </c>
      <c r="J22" s="9">
        <f>Instructions_Table[[#This Row],[O0]]+Instructions_Table[[#This Row],[Optimistic percentage]]</f>
        <v>0.59712230215827333</v>
      </c>
      <c r="K22" s="20">
        <v>36</v>
      </c>
      <c r="L22" s="9">
        <f>LOOKUP(Instructions_Table[[#This Row],[Prereq]],Instructions_Table[Step],Instructions_Table[Mf])</f>
        <v>0.87769784172661869</v>
      </c>
      <c r="M22" s="9">
        <f>Instructions_Table[[#This Row],[Most likely time (hrs)]]/DUR</f>
        <v>0.12949640287769784</v>
      </c>
      <c r="N22" s="9">
        <f>Instructions_Table[[#This Row],[M0]]+Instructions_Table[[#This Row],[Most likely percentage]]</f>
        <v>1.0071942446043165</v>
      </c>
      <c r="O22" s="13">
        <f>Instructions_Table[[#This Row],[Most likely percentage]]-Instructions_Table[[#This Row],[Optimistic percentage]]</f>
        <v>4.3165467625899276E-2</v>
      </c>
      <c r="P22" s="20">
        <v>40</v>
      </c>
      <c r="Q22" s="9">
        <f>LOOKUP(Instructions_Table[[#This Row],[Prereq]],Instructions_Table[Step],Instructions_Table[Pf])</f>
        <v>1.5575539568345325</v>
      </c>
      <c r="R22" s="9">
        <f>Instructions_Table[[#This Row],[Pessimistic time (hrs)]]/DUR</f>
        <v>0.14388489208633093</v>
      </c>
      <c r="S22" s="9">
        <f>Instructions_Table[[#This Row],[P0]]+Instructions_Table[[#This Row],[Pessimistic percentage]]</f>
        <v>1.7014388489208634</v>
      </c>
      <c r="T22" s="13">
        <f>Instructions_Table[[#This Row],[Pessimistic percentage]]-Instructions_Table[[#This Row],[Most likely percentage]]</f>
        <v>1.4388489208633087E-2</v>
      </c>
      <c r="U22" s="11">
        <v>4</v>
      </c>
      <c r="V22" s="9">
        <f>Instructions_Table[[#This Row],[Optimistic time (hrs)]]/DUR</f>
        <v>8.6330935251798566E-2</v>
      </c>
      <c r="W22" s="6" t="s">
        <v>13</v>
      </c>
      <c r="X22" s="7"/>
      <c r="Y22" s="18"/>
      <c r="Z22" s="18">
        <f>IF(Instructions_Table[[#This Row],[Actual percentage complete]]&lt;&gt;0,Instructions_Table[[#This Row],[Actual time done]]/Instructions_Table[[#This Row],[Actual percentage complete]],Instructions_Table[[#This Row],[Most likely time (hrs)]])</f>
        <v>36</v>
      </c>
      <c r="AA22" s="5">
        <f>Instructions_Table[[#This Row],[Total time calculated]]/DUR</f>
        <v>0.12949640287769784</v>
      </c>
      <c r="AB22" s="5">
        <f>Instructions_Table[[#This Row],[A diff]]*Instructions_Table[[#This Row],[Actual percentage complete]]</f>
        <v>0</v>
      </c>
      <c r="AC22" s="5">
        <f>Instructions_Table[[#This Row],[A diff]]-Instructions_Table[[#This Row],[A dif done]]</f>
        <v>0.12949640287769784</v>
      </c>
    </row>
    <row r="23" spans="2:29" x14ac:dyDescent="0.25">
      <c r="B23" s="14">
        <f>ROW(Instructions_Table[#This Row])-ROW(Instructions_Table[#Headers])-1+START</f>
        <v>14</v>
      </c>
      <c r="C23" s="21">
        <f>Instructions_Table[[#This Row],[Step]]/(MAX(Instructions_Table[Step])-MIN(Instructions_Table[Step])+1)</f>
        <v>0.56000000000000005</v>
      </c>
      <c r="D23">
        <f>B21</f>
        <v>12</v>
      </c>
      <c r="E23" s="22">
        <f>Instructions_Table[[#This Row],[Prereq]]/B$34</f>
        <v>0.48</v>
      </c>
      <c r="F23" t="s">
        <v>14</v>
      </c>
      <c r="G23" s="20">
        <v>4</v>
      </c>
      <c r="H23" s="9">
        <f>LOOKUP(Instructions_Table[[#This Row],[Prereq]],Instructions_Table[Step],Instructions_Table[Of])</f>
        <v>0.51079136690647475</v>
      </c>
      <c r="I23" s="9">
        <f>Instructions_Table[[#This Row],[Optimistic time (hrs)]]/DUR</f>
        <v>1.4388489208633094E-2</v>
      </c>
      <c r="J23" s="9">
        <f>Instructions_Table[[#This Row],[O0]]+Instructions_Table[[#This Row],[Optimistic percentage]]</f>
        <v>0.52517985611510787</v>
      </c>
      <c r="K23" s="20">
        <v>8</v>
      </c>
      <c r="L23" s="9">
        <f>LOOKUP(Instructions_Table[[#This Row],[Prereq]],Instructions_Table[Step],Instructions_Table[Mf])</f>
        <v>0.87769784172661869</v>
      </c>
      <c r="M23" s="9">
        <f>Instructions_Table[[#This Row],[Most likely time (hrs)]]/DUR</f>
        <v>2.8776978417266189E-2</v>
      </c>
      <c r="N23" s="9">
        <f>Instructions_Table[[#This Row],[M0]]+Instructions_Table[[#This Row],[Most likely percentage]]</f>
        <v>0.90647482014388492</v>
      </c>
      <c r="O23" s="13">
        <f>Instructions_Table[[#This Row],[Most likely percentage]]-Instructions_Table[[#This Row],[Optimistic percentage]]</f>
        <v>1.4388489208633094E-2</v>
      </c>
      <c r="P23" s="20">
        <v>16</v>
      </c>
      <c r="Q23" s="9">
        <f>LOOKUP(Instructions_Table[[#This Row],[Prereq]],Instructions_Table[Step],Instructions_Table[Pf])</f>
        <v>1.5575539568345325</v>
      </c>
      <c r="R23" s="9">
        <f>Instructions_Table[[#This Row],[Pessimistic time (hrs)]]/DUR</f>
        <v>5.7553956834532377E-2</v>
      </c>
      <c r="S23" s="9">
        <f>Instructions_Table[[#This Row],[P0]]+Instructions_Table[[#This Row],[Pessimistic percentage]]</f>
        <v>1.6151079136690649</v>
      </c>
      <c r="T23" s="13">
        <f>Instructions_Table[[#This Row],[Pessimistic percentage]]-Instructions_Table[[#This Row],[Most likely percentage]]</f>
        <v>2.8776978417266189E-2</v>
      </c>
      <c r="U23" s="11">
        <v>4</v>
      </c>
      <c r="V23" s="9">
        <f>Instructions_Table[[#This Row],[Optimistic time (hrs)]]/DUR</f>
        <v>1.4388489208633094E-2</v>
      </c>
      <c r="W23" s="6" t="s">
        <v>13</v>
      </c>
      <c r="X23" s="7"/>
      <c r="Y23" s="18"/>
      <c r="Z23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23" s="5">
        <f>Instructions_Table[[#This Row],[Total time calculated]]/DUR</f>
        <v>2.8776978417266189E-2</v>
      </c>
      <c r="AB23" s="5">
        <f>Instructions_Table[[#This Row],[A diff]]*Instructions_Table[[#This Row],[Actual percentage complete]]</f>
        <v>0</v>
      </c>
      <c r="AC23" s="5">
        <f>Instructions_Table[[#This Row],[A diff]]-Instructions_Table[[#This Row],[A dif done]]</f>
        <v>2.8776978417266189E-2</v>
      </c>
    </row>
    <row r="24" spans="2:29" x14ac:dyDescent="0.25">
      <c r="B24" s="14">
        <f>ROW(Instructions_Table[#This Row])-ROW(Instructions_Table[#Headers])-1+START</f>
        <v>15</v>
      </c>
      <c r="C24" s="21">
        <f>Instructions_Table[[#This Row],[Step]]/(MAX(Instructions_Table[Step])-MIN(Instructions_Table[Step])+1)</f>
        <v>0.6</v>
      </c>
      <c r="D24">
        <f>B21</f>
        <v>12</v>
      </c>
      <c r="E24" s="22">
        <f>Instructions_Table[[#This Row],[Prereq]]/B$34</f>
        <v>0.48</v>
      </c>
      <c r="F24" t="s">
        <v>15</v>
      </c>
      <c r="G24" s="20">
        <v>4</v>
      </c>
      <c r="H24" s="9">
        <f>LOOKUP(Instructions_Table[[#This Row],[Prereq]],Instructions_Table[Step],Instructions_Table[Of])</f>
        <v>0.51079136690647475</v>
      </c>
      <c r="I24" s="9">
        <f>Instructions_Table[[#This Row],[Optimistic time (hrs)]]/DUR</f>
        <v>1.4388489208633094E-2</v>
      </c>
      <c r="J24" s="9">
        <f>Instructions_Table[[#This Row],[O0]]+Instructions_Table[[#This Row],[Optimistic percentage]]</f>
        <v>0.52517985611510787</v>
      </c>
      <c r="K24" s="20">
        <v>8</v>
      </c>
      <c r="L24" s="9">
        <f>LOOKUP(Instructions_Table[[#This Row],[Prereq]],Instructions_Table[Step],Instructions_Table[Mf])</f>
        <v>0.87769784172661869</v>
      </c>
      <c r="M24" s="9">
        <f>Instructions_Table[[#This Row],[Most likely time (hrs)]]/DUR</f>
        <v>2.8776978417266189E-2</v>
      </c>
      <c r="N24" s="9">
        <f>Instructions_Table[[#This Row],[M0]]+Instructions_Table[[#This Row],[Most likely percentage]]</f>
        <v>0.90647482014388492</v>
      </c>
      <c r="O24" s="13">
        <f>Instructions_Table[[#This Row],[Most likely percentage]]-Instructions_Table[[#This Row],[Optimistic percentage]]</f>
        <v>1.4388489208633094E-2</v>
      </c>
      <c r="P24" s="20">
        <v>16</v>
      </c>
      <c r="Q24" s="9">
        <f>LOOKUP(Instructions_Table[[#This Row],[Prereq]],Instructions_Table[Step],Instructions_Table[Pf])</f>
        <v>1.5575539568345325</v>
      </c>
      <c r="R24" s="9">
        <f>Instructions_Table[[#This Row],[Pessimistic time (hrs)]]/DUR</f>
        <v>5.7553956834532377E-2</v>
      </c>
      <c r="S24" s="9">
        <f>Instructions_Table[[#This Row],[P0]]+Instructions_Table[[#This Row],[Pessimistic percentage]]</f>
        <v>1.6151079136690649</v>
      </c>
      <c r="T24" s="13">
        <f>Instructions_Table[[#This Row],[Pessimistic percentage]]-Instructions_Table[[#This Row],[Most likely percentage]]</f>
        <v>2.8776978417266189E-2</v>
      </c>
      <c r="U24" s="11">
        <v>4</v>
      </c>
      <c r="V24" s="9">
        <f>Instructions_Table[[#This Row],[Optimistic time (hrs)]]/DUR</f>
        <v>1.4388489208633094E-2</v>
      </c>
      <c r="W24" s="6" t="s">
        <v>13</v>
      </c>
      <c r="X24" s="7"/>
      <c r="Y24" s="18"/>
      <c r="Z24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24" s="5">
        <f>Instructions_Table[[#This Row],[Total time calculated]]/DUR</f>
        <v>2.8776978417266189E-2</v>
      </c>
      <c r="AB24" s="5">
        <f>Instructions_Table[[#This Row],[A diff]]*Instructions_Table[[#This Row],[Actual percentage complete]]</f>
        <v>0</v>
      </c>
      <c r="AC24" s="5">
        <f>Instructions_Table[[#This Row],[A diff]]-Instructions_Table[[#This Row],[A dif done]]</f>
        <v>2.8776978417266189E-2</v>
      </c>
    </row>
    <row r="25" spans="2:29" x14ac:dyDescent="0.25">
      <c r="B25" s="14">
        <f>ROW(Instructions_Table[#This Row])-ROW(Instructions_Table[#Headers])-1+START</f>
        <v>16</v>
      </c>
      <c r="C25" s="21">
        <f>Instructions_Table[[#This Row],[Step]]/(MAX(Instructions_Table[Step])-MIN(Instructions_Table[Step])+1)</f>
        <v>0.64</v>
      </c>
      <c r="D25">
        <f>B23</f>
        <v>14</v>
      </c>
      <c r="E25" s="22">
        <f>Instructions_Table[[#This Row],[Prereq]]/B$34</f>
        <v>0.56000000000000005</v>
      </c>
      <c r="F25" t="s">
        <v>10</v>
      </c>
      <c r="G25" s="20">
        <v>4</v>
      </c>
      <c r="H25" s="9">
        <f>LOOKUP(Instructions_Table[[#This Row],[Prereq]],Instructions_Table[Step],Instructions_Table[Of])</f>
        <v>0.52517985611510787</v>
      </c>
      <c r="I25" s="9">
        <f>Instructions_Table[[#This Row],[Optimistic time (hrs)]]/DUR</f>
        <v>1.4388489208633094E-2</v>
      </c>
      <c r="J25" s="9">
        <f>Instructions_Table[[#This Row],[O0]]+Instructions_Table[[#This Row],[Optimistic percentage]]</f>
        <v>0.53956834532374098</v>
      </c>
      <c r="K25" s="20">
        <v>8</v>
      </c>
      <c r="L25" s="9">
        <f>LOOKUP(Instructions_Table[[#This Row],[Prereq]],Instructions_Table[Step],Instructions_Table[Mf])</f>
        <v>0.90647482014388492</v>
      </c>
      <c r="M25" s="9">
        <f>Instructions_Table[[#This Row],[Most likely time (hrs)]]/DUR</f>
        <v>2.8776978417266189E-2</v>
      </c>
      <c r="N25" s="9">
        <f>Instructions_Table[[#This Row],[M0]]+Instructions_Table[[#This Row],[Most likely percentage]]</f>
        <v>0.93525179856115115</v>
      </c>
      <c r="O25" s="13">
        <f>Instructions_Table[[#This Row],[Most likely percentage]]-Instructions_Table[[#This Row],[Optimistic percentage]]</f>
        <v>1.4388489208633094E-2</v>
      </c>
      <c r="P25" s="20">
        <v>16</v>
      </c>
      <c r="Q25" s="9">
        <f>LOOKUP(Instructions_Table[[#This Row],[Prereq]],Instructions_Table[Step],Instructions_Table[Pf])</f>
        <v>1.6151079136690649</v>
      </c>
      <c r="R25" s="9">
        <f>Instructions_Table[[#This Row],[Pessimistic time (hrs)]]/DUR</f>
        <v>5.7553956834532377E-2</v>
      </c>
      <c r="S25" s="9">
        <f>Instructions_Table[[#This Row],[P0]]+Instructions_Table[[#This Row],[Pessimistic percentage]]</f>
        <v>1.6726618705035974</v>
      </c>
      <c r="T25" s="13">
        <f>Instructions_Table[[#This Row],[Pessimistic percentage]]-Instructions_Table[[#This Row],[Most likely percentage]]</f>
        <v>2.8776978417266189E-2</v>
      </c>
      <c r="U25" s="11">
        <v>4</v>
      </c>
      <c r="V25" s="9">
        <f>Instructions_Table[[#This Row],[Optimistic time (hrs)]]/DUR</f>
        <v>1.4388489208633094E-2</v>
      </c>
      <c r="W25" s="6" t="s">
        <v>13</v>
      </c>
      <c r="X25" s="7"/>
      <c r="Y25" s="18"/>
      <c r="Z25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25" s="5">
        <f>Instructions_Table[[#This Row],[Total time calculated]]/DUR</f>
        <v>2.8776978417266189E-2</v>
      </c>
      <c r="AB25" s="5">
        <f>Instructions_Table[[#This Row],[A diff]]*Instructions_Table[[#This Row],[Actual percentage complete]]</f>
        <v>0</v>
      </c>
      <c r="AC25" s="5">
        <f>Instructions_Table[[#This Row],[A diff]]-Instructions_Table[[#This Row],[A dif done]]</f>
        <v>2.8776978417266189E-2</v>
      </c>
    </row>
    <row r="26" spans="2:29" x14ac:dyDescent="0.25">
      <c r="B26" s="14">
        <f>ROW(Instructions_Table[#This Row])-ROW(Instructions_Table[#Headers])-1+START</f>
        <v>17</v>
      </c>
      <c r="C26" s="21">
        <f>Instructions_Table[[#This Row],[Step]]/(MAX(Instructions_Table[Step])-MIN(Instructions_Table[Step])+1)</f>
        <v>0.68</v>
      </c>
      <c r="D26">
        <f>B18</f>
        <v>9</v>
      </c>
      <c r="E26" s="22">
        <f>Instructions_Table[[#This Row],[Prereq]]/B$34</f>
        <v>0.36</v>
      </c>
      <c r="F26" t="s">
        <v>21</v>
      </c>
      <c r="G26" s="20">
        <v>8</v>
      </c>
      <c r="H26" s="9">
        <f>LOOKUP(Instructions_Table[[#This Row],[Prereq]],Instructions_Table[Step],Instructions_Table[Of])</f>
        <v>0.39568345323741005</v>
      </c>
      <c r="I26" s="9">
        <f>Instructions_Table[[#This Row],[Optimistic time (hrs)]]/DUR</f>
        <v>2.8776978417266189E-2</v>
      </c>
      <c r="J26" s="9">
        <f>Instructions_Table[[#This Row],[O0]]+Instructions_Table[[#This Row],[Optimistic percentage]]</f>
        <v>0.42446043165467623</v>
      </c>
      <c r="K26" s="20">
        <v>24</v>
      </c>
      <c r="L26" s="9">
        <f>LOOKUP(Instructions_Table[[#This Row],[Prereq]],Instructions_Table[Step],Instructions_Table[Mf])</f>
        <v>0.67625899280575541</v>
      </c>
      <c r="M26" s="9">
        <f>Instructions_Table[[#This Row],[Most likely time (hrs)]]/DUR</f>
        <v>8.6330935251798566E-2</v>
      </c>
      <c r="N26" s="9">
        <f>Instructions_Table[[#This Row],[M0]]+Instructions_Table[[#This Row],[Most likely percentage]]</f>
        <v>0.76258992805755399</v>
      </c>
      <c r="O26" s="13">
        <f>Instructions_Table[[#This Row],[Most likely percentage]]-Instructions_Table[[#This Row],[Optimistic percentage]]</f>
        <v>5.7553956834532377E-2</v>
      </c>
      <c r="P26" s="20">
        <v>40</v>
      </c>
      <c r="Q26" s="9">
        <f>LOOKUP(Instructions_Table[[#This Row],[Prereq]],Instructions_Table[Step],Instructions_Table[Pf])</f>
        <v>1.2841726618705036</v>
      </c>
      <c r="R26" s="9">
        <f>Instructions_Table[[#This Row],[Pessimistic time (hrs)]]/DUR</f>
        <v>0.14388489208633093</v>
      </c>
      <c r="S26" s="9">
        <f>Instructions_Table[[#This Row],[P0]]+Instructions_Table[[#This Row],[Pessimistic percentage]]</f>
        <v>1.4280575539568345</v>
      </c>
      <c r="T26" s="13">
        <f>Instructions_Table[[#This Row],[Pessimistic percentage]]-Instructions_Table[[#This Row],[Most likely percentage]]</f>
        <v>5.7553956834532363E-2</v>
      </c>
      <c r="U26" s="11">
        <v>4</v>
      </c>
      <c r="V26" s="9">
        <f>Instructions_Table[[#This Row],[Optimistic time (hrs)]]/DUR</f>
        <v>2.8776978417266189E-2</v>
      </c>
      <c r="W26" s="6" t="s">
        <v>13</v>
      </c>
      <c r="X26" s="7"/>
      <c r="Y26" s="18"/>
      <c r="Z26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26" s="5">
        <f>Instructions_Table[[#This Row],[Total time calculated]]/DUR</f>
        <v>8.6330935251798566E-2</v>
      </c>
      <c r="AB26" s="5">
        <f>Instructions_Table[[#This Row],[A diff]]*Instructions_Table[[#This Row],[Actual percentage complete]]</f>
        <v>0</v>
      </c>
      <c r="AC26" s="5">
        <f>Instructions_Table[[#This Row],[A diff]]-Instructions_Table[[#This Row],[A dif done]]</f>
        <v>8.6330935251798566E-2</v>
      </c>
    </row>
    <row r="27" spans="2:29" x14ac:dyDescent="0.25">
      <c r="B27" s="14">
        <f>ROW(Instructions_Table[#This Row])-ROW(Instructions_Table[#Headers])-1+START</f>
        <v>18</v>
      </c>
      <c r="C27" s="21">
        <f>Instructions_Table[[#This Row],[Step]]/(MAX(Instructions_Table[Step])-MIN(Instructions_Table[Step])+1)</f>
        <v>0.72</v>
      </c>
      <c r="D27">
        <f>B25</f>
        <v>16</v>
      </c>
      <c r="E27" s="22">
        <f>Instructions_Table[[#This Row],[Prereq]]/B$34</f>
        <v>0.64</v>
      </c>
      <c r="F27" t="s">
        <v>22</v>
      </c>
      <c r="G27" s="20">
        <v>16</v>
      </c>
      <c r="H27" s="9">
        <f>LOOKUP(Instructions_Table[[#This Row],[Prereq]],Instructions_Table[Step],Instructions_Table[Of])</f>
        <v>0.53956834532374098</v>
      </c>
      <c r="I27" s="9">
        <f>Instructions_Table[[#This Row],[Optimistic time (hrs)]]/DUR</f>
        <v>5.7553956834532377E-2</v>
      </c>
      <c r="J27" s="9">
        <f>Instructions_Table[[#This Row],[O0]]+Instructions_Table[[#This Row],[Optimistic percentage]]</f>
        <v>0.59712230215827333</v>
      </c>
      <c r="K27" s="20">
        <v>24</v>
      </c>
      <c r="L27" s="9">
        <f>LOOKUP(Instructions_Table[[#This Row],[Prereq]],Instructions_Table[Step],Instructions_Table[Mf])</f>
        <v>0.93525179856115115</v>
      </c>
      <c r="M27" s="9">
        <f>Instructions_Table[[#This Row],[Most likely time (hrs)]]/DUR</f>
        <v>8.6330935251798566E-2</v>
      </c>
      <c r="N27" s="9">
        <f>Instructions_Table[[#This Row],[M0]]+Instructions_Table[[#This Row],[Most likely percentage]]</f>
        <v>1.0215827338129497</v>
      </c>
      <c r="O27" s="13">
        <f>Instructions_Table[[#This Row],[Most likely percentage]]-Instructions_Table[[#This Row],[Optimistic percentage]]</f>
        <v>2.8776978417266189E-2</v>
      </c>
      <c r="P27" s="20">
        <v>40</v>
      </c>
      <c r="Q27" s="9">
        <f>LOOKUP(Instructions_Table[[#This Row],[Prereq]],Instructions_Table[Step],Instructions_Table[Pf])</f>
        <v>1.6726618705035974</v>
      </c>
      <c r="R27" s="9">
        <f>Instructions_Table[[#This Row],[Pessimistic time (hrs)]]/DUR</f>
        <v>0.14388489208633093</v>
      </c>
      <c r="S27" s="9">
        <f>Instructions_Table[[#This Row],[P0]]+Instructions_Table[[#This Row],[Pessimistic percentage]]</f>
        <v>1.8165467625899283</v>
      </c>
      <c r="T27" s="13">
        <f>Instructions_Table[[#This Row],[Pessimistic percentage]]-Instructions_Table[[#This Row],[Most likely percentage]]</f>
        <v>5.7553956834532363E-2</v>
      </c>
      <c r="U27" s="11">
        <v>4</v>
      </c>
      <c r="V27" s="9">
        <f>Instructions_Table[[#This Row],[Optimistic time (hrs)]]/DUR</f>
        <v>5.7553956834532377E-2</v>
      </c>
      <c r="W27" s="6" t="s">
        <v>13</v>
      </c>
      <c r="X27" s="7"/>
      <c r="Y27" s="18"/>
      <c r="Z27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27" s="5">
        <f>Instructions_Table[[#This Row],[Total time calculated]]/DUR</f>
        <v>8.6330935251798566E-2</v>
      </c>
      <c r="AB27" s="5">
        <f>Instructions_Table[[#This Row],[A diff]]*Instructions_Table[[#This Row],[Actual percentage complete]]</f>
        <v>0</v>
      </c>
      <c r="AC27" s="5">
        <f>Instructions_Table[[#This Row],[A diff]]-Instructions_Table[[#This Row],[A dif done]]</f>
        <v>8.6330935251798566E-2</v>
      </c>
    </row>
    <row r="28" spans="2:29" x14ac:dyDescent="0.25">
      <c r="B28" s="16">
        <f>ROW(Instructions_Table[#This Row])-ROW(Instructions_Table[#Headers])-1+START</f>
        <v>19</v>
      </c>
      <c r="C28" s="21">
        <f>Instructions_Table[[#This Row],[Step]]/(MAX(Instructions_Table[Step])-MIN(Instructions_Table[Step])+1)</f>
        <v>0.76</v>
      </c>
      <c r="D28">
        <f>B27</f>
        <v>18</v>
      </c>
      <c r="E28" s="22">
        <f>Instructions_Table[[#This Row],[Prereq]]/B$34</f>
        <v>0.72</v>
      </c>
      <c r="F28" t="s">
        <v>28</v>
      </c>
      <c r="G28" s="20">
        <v>8</v>
      </c>
      <c r="H28" s="9">
        <f>LOOKUP(Instructions_Table[[#This Row],[Prereq]],Instructions_Table[Step],Instructions_Table[Of])</f>
        <v>0.59712230215827333</v>
      </c>
      <c r="I28" s="9">
        <f>Instructions_Table[[#This Row],[Optimistic time (hrs)]]/DUR</f>
        <v>2.8776978417266189E-2</v>
      </c>
      <c r="J28" s="9">
        <f>Instructions_Table[[#This Row],[O0]]+Instructions_Table[[#This Row],[Optimistic percentage]]</f>
        <v>0.62589928057553956</v>
      </c>
      <c r="K28" s="20">
        <v>24</v>
      </c>
      <c r="L28" s="9">
        <f>LOOKUP(Instructions_Table[[#This Row],[Prereq]],Instructions_Table[Step],Instructions_Table[Mf])</f>
        <v>1.0215827338129497</v>
      </c>
      <c r="M28" s="9">
        <f>Instructions_Table[[#This Row],[Most likely time (hrs)]]/DUR</f>
        <v>8.6330935251798566E-2</v>
      </c>
      <c r="N28" s="9">
        <f>Instructions_Table[[#This Row],[M0]]+Instructions_Table[[#This Row],[Most likely percentage]]</f>
        <v>1.1079136690647482</v>
      </c>
      <c r="O28" s="13">
        <f>Instructions_Table[[#This Row],[Most likely percentage]]-Instructions_Table[[#This Row],[Optimistic percentage]]</f>
        <v>5.7553956834532377E-2</v>
      </c>
      <c r="P28" s="20">
        <v>36</v>
      </c>
      <c r="Q28" s="9">
        <f>LOOKUP(Instructions_Table[[#This Row],[Prereq]],Instructions_Table[Step],Instructions_Table[Pf])</f>
        <v>1.8165467625899283</v>
      </c>
      <c r="R28" s="9">
        <f>Instructions_Table[[#This Row],[Pessimistic time (hrs)]]/DUR</f>
        <v>0.12949640287769784</v>
      </c>
      <c r="S28" s="9">
        <f>Instructions_Table[[#This Row],[P0]]+Instructions_Table[[#This Row],[Pessimistic percentage]]</f>
        <v>1.9460431654676262</v>
      </c>
      <c r="T28" s="13">
        <f>Instructions_Table[[#This Row],[Pessimistic percentage]]-Instructions_Table[[#This Row],[Most likely percentage]]</f>
        <v>4.3165467625899276E-2</v>
      </c>
      <c r="U28" s="11">
        <v>4</v>
      </c>
      <c r="V28" s="9">
        <f>Instructions_Table[[#This Row],[Optimistic time (hrs)]]/DUR</f>
        <v>2.8776978417266189E-2</v>
      </c>
      <c r="W28" s="6" t="s">
        <v>13</v>
      </c>
      <c r="X28" s="7"/>
      <c r="Y28" s="18"/>
      <c r="Z28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28" s="5">
        <f>Instructions_Table[[#This Row],[Total time calculated]]/DUR</f>
        <v>8.6330935251798566E-2</v>
      </c>
      <c r="AB28" s="5">
        <f>Instructions_Table[[#This Row],[A diff]]*Instructions_Table[[#This Row],[Actual percentage complete]]</f>
        <v>0</v>
      </c>
      <c r="AC28" s="5">
        <f>Instructions_Table[[#This Row],[A diff]]-Instructions_Table[[#This Row],[A dif done]]</f>
        <v>8.6330935251798566E-2</v>
      </c>
    </row>
    <row r="29" spans="2:29" x14ac:dyDescent="0.25">
      <c r="B29" s="16">
        <f>ROW(Instructions_Table[#This Row])-ROW(Instructions_Table[#Headers])-1+START</f>
        <v>20</v>
      </c>
      <c r="C29" s="21">
        <f>Instructions_Table[[#This Row],[Step]]/(MAX(Instructions_Table[Step])-MIN(Instructions_Table[Step])+1)</f>
        <v>0.8</v>
      </c>
      <c r="D29">
        <f>B28</f>
        <v>19</v>
      </c>
      <c r="E29" s="22">
        <f>Instructions_Table[[#This Row],[Prereq]]/B$34</f>
        <v>0.76</v>
      </c>
      <c r="F29" t="s">
        <v>27</v>
      </c>
      <c r="G29" s="20">
        <v>8</v>
      </c>
      <c r="H29" s="9">
        <f>LOOKUP(Instructions_Table[[#This Row],[Prereq]],Instructions_Table[Step],Instructions_Table[Of])</f>
        <v>0.62589928057553956</v>
      </c>
      <c r="I29" s="9">
        <f>Instructions_Table[[#This Row],[Optimistic time (hrs)]]/DUR</f>
        <v>2.8776978417266189E-2</v>
      </c>
      <c r="J29" s="9">
        <f>Instructions_Table[[#This Row],[O0]]+Instructions_Table[[#This Row],[Optimistic percentage]]</f>
        <v>0.65467625899280579</v>
      </c>
      <c r="K29" s="20">
        <v>24</v>
      </c>
      <c r="L29" s="9">
        <f>LOOKUP(Instructions_Table[[#This Row],[Prereq]],Instructions_Table[Step],Instructions_Table[Mf])</f>
        <v>1.1079136690647482</v>
      </c>
      <c r="M29" s="9">
        <f>Instructions_Table[[#This Row],[Most likely time (hrs)]]/DUR</f>
        <v>8.6330935251798566E-2</v>
      </c>
      <c r="N29" s="9">
        <f>Instructions_Table[[#This Row],[M0]]+Instructions_Table[[#This Row],[Most likely percentage]]</f>
        <v>1.1942446043165467</v>
      </c>
      <c r="O29" s="13">
        <f>Instructions_Table[[#This Row],[Most likely percentage]]-Instructions_Table[[#This Row],[Optimistic percentage]]</f>
        <v>5.7553956834532377E-2</v>
      </c>
      <c r="P29" s="20">
        <v>40</v>
      </c>
      <c r="Q29" s="9">
        <f>LOOKUP(Instructions_Table[[#This Row],[Prereq]],Instructions_Table[Step],Instructions_Table[Pf])</f>
        <v>1.9460431654676262</v>
      </c>
      <c r="R29" s="9">
        <f>Instructions_Table[[#This Row],[Pessimistic time (hrs)]]/DUR</f>
        <v>0.14388489208633093</v>
      </c>
      <c r="S29" s="9">
        <f>Instructions_Table[[#This Row],[P0]]+Instructions_Table[[#This Row],[Pessimistic percentage]]</f>
        <v>2.0899280575539572</v>
      </c>
      <c r="T29" s="13">
        <f>Instructions_Table[[#This Row],[Pessimistic percentage]]-Instructions_Table[[#This Row],[Most likely percentage]]</f>
        <v>5.7553956834532363E-2</v>
      </c>
      <c r="U29" s="11">
        <v>4</v>
      </c>
      <c r="V29" s="9">
        <f>Instructions_Table[[#This Row],[Optimistic time (hrs)]]/DUR</f>
        <v>2.8776978417266189E-2</v>
      </c>
      <c r="W29" s="6" t="s">
        <v>13</v>
      </c>
      <c r="X29" s="7"/>
      <c r="Y29" s="18"/>
      <c r="Z29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29" s="5">
        <f>Instructions_Table[[#This Row],[Total time calculated]]/DUR</f>
        <v>8.6330935251798566E-2</v>
      </c>
      <c r="AB29" s="5">
        <f>Instructions_Table[[#This Row],[A diff]]*Instructions_Table[[#This Row],[Actual percentage complete]]</f>
        <v>0</v>
      </c>
      <c r="AC29" s="5">
        <f>Instructions_Table[[#This Row],[A diff]]-Instructions_Table[[#This Row],[A dif done]]</f>
        <v>8.6330935251798566E-2</v>
      </c>
    </row>
    <row r="30" spans="2:29" x14ac:dyDescent="0.25">
      <c r="B30" s="16">
        <f>ROW(Instructions_Table[#This Row])-ROW(Instructions_Table[#Headers])-1+START</f>
        <v>21</v>
      </c>
      <c r="C30" s="21">
        <f>Instructions_Table[[#This Row],[Step]]/(MAX(Instructions_Table[Step])-MIN(Instructions_Table[Step])+1)</f>
        <v>0.84</v>
      </c>
      <c r="D30">
        <f>B29</f>
        <v>20</v>
      </c>
      <c r="E30" s="22">
        <f>Instructions_Table[[#This Row],[Prereq]]/B$34</f>
        <v>0.8</v>
      </c>
      <c r="F30" t="s">
        <v>26</v>
      </c>
      <c r="G30" s="20">
        <v>8</v>
      </c>
      <c r="H30" s="9">
        <f>LOOKUP(Instructions_Table[[#This Row],[Prereq]],Instructions_Table[Step],Instructions_Table[Of])</f>
        <v>0.65467625899280579</v>
      </c>
      <c r="I30" s="9">
        <f>Instructions_Table[[#This Row],[Optimistic time (hrs)]]/DUR</f>
        <v>2.8776978417266189E-2</v>
      </c>
      <c r="J30" s="9">
        <f>Instructions_Table[[#This Row],[O0]]+Instructions_Table[[#This Row],[Optimistic percentage]]</f>
        <v>0.68345323741007202</v>
      </c>
      <c r="K30" s="20">
        <v>24</v>
      </c>
      <c r="L30" s="9">
        <f>LOOKUP(Instructions_Table[[#This Row],[Prereq]],Instructions_Table[Step],Instructions_Table[Mf])</f>
        <v>1.1942446043165467</v>
      </c>
      <c r="M30" s="9">
        <f>Instructions_Table[[#This Row],[Most likely time (hrs)]]/DUR</f>
        <v>8.6330935251798566E-2</v>
      </c>
      <c r="N30" s="9">
        <f>Instructions_Table[[#This Row],[M0]]+Instructions_Table[[#This Row],[Most likely percentage]]</f>
        <v>1.2805755395683451</v>
      </c>
      <c r="O30" s="13">
        <f>Instructions_Table[[#This Row],[Most likely percentage]]-Instructions_Table[[#This Row],[Optimistic percentage]]</f>
        <v>5.7553956834532377E-2</v>
      </c>
      <c r="P30" s="20">
        <v>36</v>
      </c>
      <c r="Q30" s="9">
        <f>LOOKUP(Instructions_Table[[#This Row],[Prereq]],Instructions_Table[Step],Instructions_Table[Pf])</f>
        <v>2.0899280575539572</v>
      </c>
      <c r="R30" s="9">
        <f>Instructions_Table[[#This Row],[Pessimistic time (hrs)]]/DUR</f>
        <v>0.12949640287769784</v>
      </c>
      <c r="S30" s="9">
        <f>Instructions_Table[[#This Row],[P0]]+Instructions_Table[[#This Row],[Pessimistic percentage]]</f>
        <v>2.2194244604316551</v>
      </c>
      <c r="T30" s="13">
        <f>Instructions_Table[[#This Row],[Pessimistic percentage]]-Instructions_Table[[#This Row],[Most likely percentage]]</f>
        <v>4.3165467625899276E-2</v>
      </c>
      <c r="U30" s="11">
        <v>4</v>
      </c>
      <c r="V30" s="9">
        <f>Instructions_Table[[#This Row],[Optimistic time (hrs)]]/DUR</f>
        <v>2.8776978417266189E-2</v>
      </c>
      <c r="W30" s="6" t="s">
        <v>13</v>
      </c>
      <c r="X30" s="7"/>
      <c r="Y30" s="18"/>
      <c r="Z30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30" s="5">
        <f>Instructions_Table[[#This Row],[Total time calculated]]/DUR</f>
        <v>8.6330935251798566E-2</v>
      </c>
      <c r="AB30" s="5">
        <f>Instructions_Table[[#This Row],[A diff]]*Instructions_Table[[#This Row],[Actual percentage complete]]</f>
        <v>0</v>
      </c>
      <c r="AC30" s="5">
        <f>Instructions_Table[[#This Row],[A diff]]-Instructions_Table[[#This Row],[A dif done]]</f>
        <v>8.6330935251798566E-2</v>
      </c>
    </row>
    <row r="31" spans="2:29" x14ac:dyDescent="0.25">
      <c r="B31" s="16">
        <f>ROW(Instructions_Table[#This Row])-ROW(Instructions_Table[#Headers])-1+START</f>
        <v>22</v>
      </c>
      <c r="C31" s="21">
        <f>Instructions_Table[[#This Row],[Step]]/(MAX(Instructions_Table[Step])-MIN(Instructions_Table[Step])+1)</f>
        <v>0.88</v>
      </c>
      <c r="D31">
        <f>B28</f>
        <v>19</v>
      </c>
      <c r="E31" s="22">
        <f>Instructions_Table[[#This Row],[Prereq]]/B$34</f>
        <v>0.76</v>
      </c>
      <c r="F31" t="s">
        <v>25</v>
      </c>
      <c r="G31" s="20">
        <v>8</v>
      </c>
      <c r="H31" s="9">
        <f>LOOKUP(Instructions_Table[[#This Row],[Prereq]],Instructions_Table[Step],Instructions_Table[Of])</f>
        <v>0.62589928057553956</v>
      </c>
      <c r="I31" s="9">
        <f>Instructions_Table[[#This Row],[Optimistic time (hrs)]]/DUR</f>
        <v>2.8776978417266189E-2</v>
      </c>
      <c r="J31" s="9">
        <f>Instructions_Table[[#This Row],[O0]]+Instructions_Table[[#This Row],[Optimistic percentage]]</f>
        <v>0.65467625899280579</v>
      </c>
      <c r="K31" s="20">
        <v>16</v>
      </c>
      <c r="L31" s="9">
        <f>LOOKUP(Instructions_Table[[#This Row],[Prereq]],Instructions_Table[Step],Instructions_Table[Mf])</f>
        <v>1.1079136690647482</v>
      </c>
      <c r="M31" s="9">
        <f>Instructions_Table[[#This Row],[Most likely time (hrs)]]/DUR</f>
        <v>5.7553956834532377E-2</v>
      </c>
      <c r="N31" s="9">
        <f>Instructions_Table[[#This Row],[M0]]+Instructions_Table[[#This Row],[Most likely percentage]]</f>
        <v>1.1654676258992807</v>
      </c>
      <c r="O31" s="13">
        <f>Instructions_Table[[#This Row],[Most likely percentage]]-Instructions_Table[[#This Row],[Optimistic percentage]]</f>
        <v>2.8776978417266189E-2</v>
      </c>
      <c r="P31" s="20">
        <v>24</v>
      </c>
      <c r="Q31" s="9">
        <f>LOOKUP(Instructions_Table[[#This Row],[Prereq]],Instructions_Table[Step],Instructions_Table[Pf])</f>
        <v>1.9460431654676262</v>
      </c>
      <c r="R31" s="9">
        <f>Instructions_Table[[#This Row],[Pessimistic time (hrs)]]/DUR</f>
        <v>8.6330935251798566E-2</v>
      </c>
      <c r="S31" s="9">
        <f>Instructions_Table[[#This Row],[P0]]+Instructions_Table[[#This Row],[Pessimistic percentage]]</f>
        <v>2.0323741007194247</v>
      </c>
      <c r="T31" s="13">
        <f>Instructions_Table[[#This Row],[Pessimistic percentage]]-Instructions_Table[[#This Row],[Most likely percentage]]</f>
        <v>2.8776978417266189E-2</v>
      </c>
      <c r="U31" s="11">
        <v>4</v>
      </c>
      <c r="V31" s="9">
        <f>Instructions_Table[[#This Row],[Optimistic time (hrs)]]/DUR</f>
        <v>2.8776978417266189E-2</v>
      </c>
      <c r="W31" s="6" t="s">
        <v>13</v>
      </c>
      <c r="X31" s="7"/>
      <c r="Y31" s="18"/>
      <c r="Z31" s="18">
        <f>IF(Instructions_Table[[#This Row],[Actual percentage complete]]&lt;&gt;0,Instructions_Table[[#This Row],[Actual time done]]/Instructions_Table[[#This Row],[Actual percentage complete]],Instructions_Table[[#This Row],[Most likely time (hrs)]])</f>
        <v>16</v>
      </c>
      <c r="AA31" s="5">
        <f>Instructions_Table[[#This Row],[Total time calculated]]/DUR</f>
        <v>5.7553956834532377E-2</v>
      </c>
      <c r="AB31" s="5">
        <f>Instructions_Table[[#This Row],[A diff]]*Instructions_Table[[#This Row],[Actual percentage complete]]</f>
        <v>0</v>
      </c>
      <c r="AC31" s="5">
        <f>Instructions_Table[[#This Row],[A diff]]-Instructions_Table[[#This Row],[A dif done]]</f>
        <v>5.7553956834532377E-2</v>
      </c>
    </row>
    <row r="32" spans="2:29" x14ac:dyDescent="0.25">
      <c r="B32" s="16">
        <f>ROW(Instructions_Table[#This Row])-ROW(Instructions_Table[#Headers])-1+START</f>
        <v>23</v>
      </c>
      <c r="C32" s="21">
        <f>Instructions_Table[[#This Row],[Step]]/(MAX(Instructions_Table[Step])-MIN(Instructions_Table[Step])+1)</f>
        <v>0.92</v>
      </c>
      <c r="D32">
        <f>B31</f>
        <v>22</v>
      </c>
      <c r="E32" s="22">
        <f>Instructions_Table[[#This Row],[Prereq]]/B$34</f>
        <v>0.88</v>
      </c>
      <c r="F32" t="s">
        <v>29</v>
      </c>
      <c r="G32" s="20">
        <v>8</v>
      </c>
      <c r="H32" s="9">
        <f>LOOKUP(Instructions_Table[[#This Row],[Prereq]],Instructions_Table[Step],Instructions_Table[Of])</f>
        <v>0.65467625899280579</v>
      </c>
      <c r="I32" s="9">
        <f>Instructions_Table[[#This Row],[Optimistic time (hrs)]]/DUR</f>
        <v>2.8776978417266189E-2</v>
      </c>
      <c r="J32" s="9">
        <f>Instructions_Table[[#This Row],[O0]]+Instructions_Table[[#This Row],[Optimistic percentage]]</f>
        <v>0.68345323741007202</v>
      </c>
      <c r="K32" s="20">
        <v>24</v>
      </c>
      <c r="L32" s="9">
        <f>LOOKUP(Instructions_Table[[#This Row],[Prereq]],Instructions_Table[Step],Instructions_Table[Mf])</f>
        <v>1.1654676258992807</v>
      </c>
      <c r="M32" s="9">
        <f>Instructions_Table[[#This Row],[Most likely time (hrs)]]/DUR</f>
        <v>8.6330935251798566E-2</v>
      </c>
      <c r="N32" s="9">
        <f>Instructions_Table[[#This Row],[M0]]+Instructions_Table[[#This Row],[Most likely percentage]]</f>
        <v>1.2517985611510791</v>
      </c>
      <c r="O32" s="13">
        <f>Instructions_Table[[#This Row],[Most likely percentage]]-Instructions_Table[[#This Row],[Optimistic percentage]]</f>
        <v>5.7553956834532377E-2</v>
      </c>
      <c r="P32" s="20">
        <v>36</v>
      </c>
      <c r="Q32" s="9">
        <f>LOOKUP(Instructions_Table[[#This Row],[Prereq]],Instructions_Table[Step],Instructions_Table[Pf])</f>
        <v>2.0323741007194247</v>
      </c>
      <c r="R32" s="9">
        <f>Instructions_Table[[#This Row],[Pessimistic time (hrs)]]/DUR</f>
        <v>0.12949640287769784</v>
      </c>
      <c r="S32" s="9">
        <f>Instructions_Table[[#This Row],[P0]]+Instructions_Table[[#This Row],[Pessimistic percentage]]</f>
        <v>2.1618705035971226</v>
      </c>
      <c r="T32" s="13">
        <f>Instructions_Table[[#This Row],[Pessimistic percentage]]-Instructions_Table[[#This Row],[Most likely percentage]]</f>
        <v>4.3165467625899276E-2</v>
      </c>
      <c r="U32" s="11">
        <v>4</v>
      </c>
      <c r="V32" s="9">
        <f>Instructions_Table[[#This Row],[Optimistic time (hrs)]]/DUR</f>
        <v>2.8776978417266189E-2</v>
      </c>
      <c r="W32" s="6" t="s">
        <v>13</v>
      </c>
      <c r="X32" s="7"/>
      <c r="Y32" s="18"/>
      <c r="Z32" s="18">
        <f>IF(Instructions_Table[[#This Row],[Actual percentage complete]]&lt;&gt;0,Instructions_Table[[#This Row],[Actual time done]]/Instructions_Table[[#This Row],[Actual percentage complete]],Instructions_Table[[#This Row],[Most likely time (hrs)]])</f>
        <v>24</v>
      </c>
      <c r="AA32" s="5">
        <f>Instructions_Table[[#This Row],[Total time calculated]]/DUR</f>
        <v>8.6330935251798566E-2</v>
      </c>
      <c r="AB32" s="5">
        <f>Instructions_Table[[#This Row],[A diff]]*Instructions_Table[[#This Row],[Actual percentage complete]]</f>
        <v>0</v>
      </c>
      <c r="AC32" s="5">
        <f>Instructions_Table[[#This Row],[A diff]]-Instructions_Table[[#This Row],[A dif done]]</f>
        <v>8.6330935251798566E-2</v>
      </c>
    </row>
    <row r="33" spans="2:29" x14ac:dyDescent="0.25">
      <c r="B33" s="16">
        <f>ROW(Instructions_Table[#This Row])-ROW(Instructions_Table[#Headers])-1+START</f>
        <v>24</v>
      </c>
      <c r="C33" s="21">
        <f>Instructions_Table[[#This Row],[Step]]/(MAX(Instructions_Table[Step])-MIN(Instructions_Table[Step])+1)</f>
        <v>0.96</v>
      </c>
      <c r="D33">
        <f>B31</f>
        <v>22</v>
      </c>
      <c r="E33" s="22">
        <f>Instructions_Table[[#This Row],[Prereq]]/B$34</f>
        <v>0.88</v>
      </c>
      <c r="F33" t="s">
        <v>23</v>
      </c>
      <c r="G33" s="20">
        <v>4</v>
      </c>
      <c r="H33" s="9">
        <f>LOOKUP(Instructions_Table[[#This Row],[Prereq]],Instructions_Table[Step],Instructions_Table[Of])</f>
        <v>0.65467625899280579</v>
      </c>
      <c r="I33" s="9">
        <f>Instructions_Table[[#This Row],[Optimistic time (hrs)]]/DUR</f>
        <v>1.4388489208633094E-2</v>
      </c>
      <c r="J33" s="9">
        <f>Instructions_Table[[#This Row],[O0]]+Instructions_Table[[#This Row],[Optimistic percentage]]</f>
        <v>0.66906474820143891</v>
      </c>
      <c r="K33" s="20">
        <v>8</v>
      </c>
      <c r="L33" s="9">
        <f>LOOKUP(Instructions_Table[[#This Row],[Prereq]],Instructions_Table[Step],Instructions_Table[Mf])</f>
        <v>1.1654676258992807</v>
      </c>
      <c r="M33" s="9">
        <f>Instructions_Table[[#This Row],[Most likely time (hrs)]]/DUR</f>
        <v>2.8776978417266189E-2</v>
      </c>
      <c r="N33" s="9">
        <f>Instructions_Table[[#This Row],[M0]]+Instructions_Table[[#This Row],[Most likely percentage]]</f>
        <v>1.1942446043165469</v>
      </c>
      <c r="O33" s="13">
        <f>Instructions_Table[[#This Row],[Most likely percentage]]-Instructions_Table[[#This Row],[Optimistic percentage]]</f>
        <v>1.4388489208633094E-2</v>
      </c>
      <c r="P33" s="20">
        <v>16</v>
      </c>
      <c r="Q33" s="9">
        <f>LOOKUP(Instructions_Table[[#This Row],[Prereq]],Instructions_Table[Step],Instructions_Table[Pf])</f>
        <v>2.0323741007194247</v>
      </c>
      <c r="R33" s="9">
        <f>Instructions_Table[[#This Row],[Pessimistic time (hrs)]]/DUR</f>
        <v>5.7553956834532377E-2</v>
      </c>
      <c r="S33" s="9">
        <f>Instructions_Table[[#This Row],[P0]]+Instructions_Table[[#This Row],[Pessimistic percentage]]</f>
        <v>2.0899280575539572</v>
      </c>
      <c r="T33" s="13">
        <f>Instructions_Table[[#This Row],[Pessimistic percentage]]-Instructions_Table[[#This Row],[Most likely percentage]]</f>
        <v>2.8776978417266189E-2</v>
      </c>
      <c r="U33" s="11">
        <v>4</v>
      </c>
      <c r="V33" s="9">
        <f>Instructions_Table[[#This Row],[Optimistic time (hrs)]]/DUR</f>
        <v>1.4388489208633094E-2</v>
      </c>
      <c r="W33" s="6" t="s">
        <v>13</v>
      </c>
      <c r="X33" s="7"/>
      <c r="Y33" s="18"/>
      <c r="Z33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33" s="5">
        <f>Instructions_Table[[#This Row],[Total time calculated]]/DUR</f>
        <v>2.8776978417266189E-2</v>
      </c>
      <c r="AB33" s="5">
        <f>Instructions_Table[[#This Row],[A diff]]*Instructions_Table[[#This Row],[Actual percentage complete]]</f>
        <v>0</v>
      </c>
      <c r="AC33" s="5">
        <f>Instructions_Table[[#This Row],[A diff]]-Instructions_Table[[#This Row],[A dif done]]</f>
        <v>2.8776978417266189E-2</v>
      </c>
    </row>
    <row r="34" spans="2:29" x14ac:dyDescent="0.25">
      <c r="B34" s="16">
        <f>ROW(Instructions_Table[#This Row])-ROW(Instructions_Table[#Headers])-1+START</f>
        <v>25</v>
      </c>
      <c r="C34" s="21">
        <f>Instructions_Table[[#This Row],[Step]]/(MAX(Instructions_Table[Step])-MIN(Instructions_Table[Step])+1)</f>
        <v>1</v>
      </c>
      <c r="D34">
        <f>B31</f>
        <v>22</v>
      </c>
      <c r="E34" s="22">
        <f>Instructions_Table[[#This Row],[Prereq]]/B$34</f>
        <v>0.88</v>
      </c>
      <c r="F34" t="s">
        <v>24</v>
      </c>
      <c r="G34" s="20">
        <v>4</v>
      </c>
      <c r="H34" s="9">
        <f>LOOKUP(Instructions_Table[[#This Row],[Prereq]],Instructions_Table[Step],Instructions_Table[Of])</f>
        <v>0.65467625899280579</v>
      </c>
      <c r="I34" s="9">
        <f>Instructions_Table[[#This Row],[Optimistic time (hrs)]]/DUR</f>
        <v>1.4388489208633094E-2</v>
      </c>
      <c r="J34" s="9">
        <f>Instructions_Table[[#This Row],[O0]]+Instructions_Table[[#This Row],[Optimistic percentage]]</f>
        <v>0.66906474820143891</v>
      </c>
      <c r="K34" s="20">
        <v>8</v>
      </c>
      <c r="L34" s="9">
        <f>LOOKUP(Instructions_Table[[#This Row],[Prereq]],Instructions_Table[Step],Instructions_Table[Mf])</f>
        <v>1.1654676258992807</v>
      </c>
      <c r="M34" s="9">
        <f>Instructions_Table[[#This Row],[Most likely time (hrs)]]/DUR</f>
        <v>2.8776978417266189E-2</v>
      </c>
      <c r="N34" s="9">
        <f>Instructions_Table[[#This Row],[M0]]+Instructions_Table[[#This Row],[Most likely percentage]]</f>
        <v>1.1942446043165469</v>
      </c>
      <c r="O34" s="13">
        <f>Instructions_Table[[#This Row],[Most likely percentage]]-Instructions_Table[[#This Row],[Optimistic percentage]]</f>
        <v>1.4388489208633094E-2</v>
      </c>
      <c r="P34" s="20">
        <v>16</v>
      </c>
      <c r="Q34" s="9">
        <f>LOOKUP(Instructions_Table[[#This Row],[Prereq]],Instructions_Table[Step],Instructions_Table[Pf])</f>
        <v>2.0323741007194247</v>
      </c>
      <c r="R34" s="9">
        <f>Instructions_Table[[#This Row],[Pessimistic time (hrs)]]/DUR</f>
        <v>5.7553956834532377E-2</v>
      </c>
      <c r="S34" s="9">
        <f>Instructions_Table[[#This Row],[P0]]+Instructions_Table[[#This Row],[Pessimistic percentage]]</f>
        <v>2.0899280575539572</v>
      </c>
      <c r="T34" s="13">
        <f>Instructions_Table[[#This Row],[Pessimistic percentage]]-Instructions_Table[[#This Row],[Most likely percentage]]</f>
        <v>2.8776978417266189E-2</v>
      </c>
      <c r="U34" s="11">
        <v>4</v>
      </c>
      <c r="V34" s="9">
        <f>Instructions_Table[[#This Row],[Optimistic time (hrs)]]/DUR</f>
        <v>1.4388489208633094E-2</v>
      </c>
      <c r="W34" s="6" t="s">
        <v>13</v>
      </c>
      <c r="X34" s="7"/>
      <c r="Y34" s="18"/>
      <c r="Z34" s="18">
        <f>IF(Instructions_Table[[#This Row],[Actual percentage complete]]&lt;&gt;0,Instructions_Table[[#This Row],[Actual time done]]/Instructions_Table[[#This Row],[Actual percentage complete]],Instructions_Table[[#This Row],[Most likely time (hrs)]])</f>
        <v>8</v>
      </c>
      <c r="AA34" s="5">
        <f>Instructions_Table[[#This Row],[Total time calculated]]/DUR</f>
        <v>2.8776978417266189E-2</v>
      </c>
      <c r="AB34" s="5">
        <f>Instructions_Table[[#This Row],[A diff]]*Instructions_Table[[#This Row],[Actual percentage complete]]</f>
        <v>0</v>
      </c>
      <c r="AC34" s="5">
        <f>Instructions_Table[[#This Row],[A diff]]-Instructions_Table[[#This Row],[A dif done]]</f>
        <v>2.8776978417266189E-2</v>
      </c>
    </row>
    <row r="35" spans="2:29" x14ac:dyDescent="0.25">
      <c r="B35" s="14">
        <f>SUBTOTAL(104,Instructions_Table[Step])</f>
        <v>25</v>
      </c>
      <c r="C35" s="14"/>
      <c r="D35" s="17"/>
      <c r="E35" s="14"/>
      <c r="F35" s="17"/>
      <c r="G35" s="19">
        <f>SUBTOTAL(109,Instructions_Table[Optimistic time (hrs)])</f>
        <v>278</v>
      </c>
      <c r="H35" s="10"/>
      <c r="I35" s="10">
        <f>SUM(Instructions_Table[Optimistic percentage])</f>
        <v>1.0000000000000002</v>
      </c>
      <c r="J35" s="10"/>
      <c r="K35" s="19">
        <f>SUBTOTAL(109,Instructions_Table[Most likely time (hrs)])</f>
        <v>524</v>
      </c>
      <c r="L35" s="10"/>
      <c r="M35" s="10">
        <f>SUM(Instructions_Table[Most likely percentage])</f>
        <v>1.8848920863309351</v>
      </c>
      <c r="N35" s="10"/>
      <c r="O35" s="10"/>
      <c r="P35" s="19">
        <f>SUBTOTAL(109,Instructions_Table[Pessimistic time (hrs)])</f>
        <v>861</v>
      </c>
      <c r="Q35" s="10"/>
      <c r="R35" s="10">
        <f>SUBTOTAL(109,Instructions_Table[Pessimistic percentage])</f>
        <v>3.0971223021582737</v>
      </c>
      <c r="S35" s="10"/>
      <c r="T35" s="10"/>
      <c r="U35" s="11">
        <f>SUBTOTAL(109,Instructions_Table[Expected time (hrs)])</f>
        <v>100</v>
      </c>
      <c r="V35" s="10">
        <f>SUBTOTAL(109,Instructions_Table[Expected time percentage])</f>
        <v>1.0000000000000002</v>
      </c>
      <c r="W35" s="19"/>
      <c r="X35" s="19"/>
      <c r="Y35" s="19"/>
      <c r="Z35" s="19"/>
      <c r="AA35" s="17"/>
      <c r="AB35" s="19"/>
      <c r="AC35" s="19"/>
    </row>
    <row r="39" spans="2:29" x14ac:dyDescent="0.25">
      <c r="F39" s="4">
        <f>LOOKUP(1,Instructions_Table[Step],Instructions_Table[Of])</f>
        <v>1.4388489208633094E-2</v>
      </c>
    </row>
    <row r="40" spans="2:29" x14ac:dyDescent="0.25">
      <c r="B40" t="s">
        <v>54</v>
      </c>
    </row>
    <row r="41" spans="2:29" x14ac:dyDescent="0.25">
      <c r="B41" t="s">
        <v>55</v>
      </c>
    </row>
    <row r="42" spans="2:29" x14ac:dyDescent="0.25">
      <c r="B42" t="s">
        <v>56</v>
      </c>
    </row>
    <row r="53" spans="6:6" x14ac:dyDescent="0.25">
      <c r="F53" t="s">
        <v>42</v>
      </c>
    </row>
  </sheetData>
  <dataConsolidate/>
  <dataValidations count="3">
    <dataValidation type="list" allowBlank="1" showInputMessage="1" showErrorMessage="1" sqref="W10:W34" xr:uid="{F24B2B19-8871-412B-96DF-213A6512CF9E}">
      <formula1>"Check, Task, Lag, Admin"</formula1>
    </dataValidation>
    <dataValidation type="whole" showInputMessage="1" showErrorMessage="1" sqref="B6" xr:uid="{71D55FB8-AD12-4B20-9F21-ADEF05F2322A}">
      <formula1>-100</formula1>
      <formula2>100</formula2>
    </dataValidation>
    <dataValidation type="list" allowBlank="1" showInputMessage="1" showErrorMessage="1" sqref="B5" xr:uid="{4C474868-21EF-4CDE-9229-AFCDC5118120}">
      <formula1>PERT_TIMES</formula1>
    </dataValidation>
  </dataValidations>
  <pageMargins left="0.7" right="0.7" top="0.75" bottom="0.75" header="0.3" footer="0.3"/>
  <pageSetup orientation="portrait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3A1F4-CE47-44AF-834A-FC71CA811ECB}">
  <sheetPr codeName="Sheet4"/>
  <dimension ref="A1"/>
  <sheetViews>
    <sheetView showGridLines="0" tabSelected="1" zoomScaleNormal="100" workbookViewId="0">
      <selection activeCell="I13" sqref="I13"/>
    </sheetView>
  </sheetViews>
  <sheetFormatPr defaultRowHeight="15" x14ac:dyDescent="0.25"/>
  <sheetData/>
  <dataConsolidate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4" r:id="rId3" name="ComboBox1">
          <controlPr defaultSize="0" autoLine="0" autoPict="0" listFillRange="TIMEBASES" r:id="rId4">
            <anchor moveWithCells="1">
              <from>
                <xdr:col>9</xdr:col>
                <xdr:colOff>38100</xdr:colOff>
                <xdr:row>3</xdr:row>
                <xdr:rowOff>142875</xdr:rowOff>
              </from>
              <to>
                <xdr:col>10</xdr:col>
                <xdr:colOff>542925</xdr:colOff>
                <xdr:row>4</xdr:row>
                <xdr:rowOff>171450</xdr:rowOff>
              </to>
            </anchor>
          </controlPr>
        </control>
      </mc:Choice>
      <mc:Fallback>
        <control shapeId="10244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Tasks</vt:lpstr>
      <vt:lpstr>Pert diagram</vt:lpstr>
      <vt:lpstr>Chart1</vt:lpstr>
      <vt:lpstr>DUR</vt:lpstr>
      <vt:lpstr>PERT_TIMES</vt:lpstr>
      <vt:lpstr>START</vt:lpstr>
      <vt:lpstr>TIMEBASES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Seans account</dc:creator>
  <cp:lastModifiedBy>Seans account</cp:lastModifiedBy>
  <dcterms:created xsi:type="dcterms:W3CDTF">2020-01-26T06:57:38Z</dcterms:created>
  <dcterms:modified xsi:type="dcterms:W3CDTF">2020-01-30T14:11:17Z</dcterms:modified>
</cp:coreProperties>
</file>